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P_Tools\"/>
    </mc:Choice>
  </mc:AlternateContent>
  <xr:revisionPtr revIDLastSave="0" documentId="13_ncr:1_{96D31B15-0139-445C-A043-C3173961930F}" xr6:coauthVersionLast="47" xr6:coauthVersionMax="47" xr10:uidLastSave="{00000000-0000-0000-0000-000000000000}"/>
  <bookViews>
    <workbookView xWindow="-98" yWindow="-98" windowWidth="23236" windowHeight="13875" tabRatio="819" xr2:uid="{B457637F-0331-4D65-B47E-4E0B2A8A9773}"/>
  </bookViews>
  <sheets>
    <sheet name="Packing List" sheetId="13" r:id="rId1"/>
    <sheet name="CU-244767" sheetId="26" r:id="rId2"/>
    <sheet name="Label Template" sheetId="18" r:id="rId3"/>
    <sheet name="Mixed Template" sheetId="23" r:id="rId4"/>
    <sheet name="Label Output" sheetId="17" r:id="rId5"/>
    <sheet name="Manual Template" sheetId="19" r:id="rId6"/>
    <sheet name="Label Template (2)" sheetId="24" r:id="rId7"/>
    <sheet name="Mixed Template (2)" sheetId="25" state="hidden" r:id="rId8"/>
    <sheet name="Company Data" sheetId="20" state="veryHidden" r:id="rId9"/>
  </sheets>
  <externalReferences>
    <externalReference r:id="rId10"/>
  </externalReferences>
  <definedNames>
    <definedName name="_xlnm.Print_Area" localSheetId="4">'Label Output'!$A$1:$E$256</definedName>
    <definedName name="_xlnm.Print_Area" localSheetId="5">'Manual Template'!$A$1:$E$32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9" i="17" l="1"/>
  <c r="D241" i="17"/>
  <c r="D233" i="17"/>
  <c r="D225" i="17"/>
  <c r="D217" i="17"/>
  <c r="D209" i="17"/>
  <c r="D201" i="17"/>
  <c r="D193" i="17"/>
  <c r="D185" i="17"/>
  <c r="D177" i="17"/>
  <c r="D169" i="17"/>
  <c r="D161" i="17"/>
  <c r="D153" i="17"/>
  <c r="D145" i="17"/>
  <c r="D137" i="17"/>
  <c r="D129" i="17"/>
  <c r="D121" i="17"/>
  <c r="D113" i="17"/>
  <c r="D105" i="17"/>
  <c r="D97" i="17"/>
  <c r="D89" i="17"/>
  <c r="D81" i="17"/>
  <c r="D73" i="17"/>
  <c r="D65" i="17"/>
  <c r="D57" i="17"/>
  <c r="D49" i="17"/>
  <c r="D41" i="17"/>
  <c r="D33" i="17"/>
  <c r="D25" i="17"/>
  <c r="D17" i="17"/>
  <c r="D9" i="17"/>
  <c r="D1" i="17"/>
  <c r="D1" i="18" l="1"/>
  <c r="L421" i="13"/>
  <c r="O421" i="13" s="1"/>
  <c r="R421" i="13" s="1"/>
  <c r="S421" i="13" s="1"/>
  <c r="L420" i="13"/>
  <c r="O420" i="13" s="1"/>
  <c r="R420" i="13" s="1"/>
  <c r="S420" i="13" s="1"/>
  <c r="L419" i="13"/>
  <c r="O419" i="13"/>
  <c r="R419" i="13" s="1"/>
  <c r="S419" i="13" s="1"/>
  <c r="L418" i="13"/>
  <c r="O418" i="13" s="1"/>
  <c r="R418" i="13" s="1"/>
  <c r="S418" i="13" s="1"/>
  <c r="L417" i="13"/>
  <c r="O417" i="13" s="1"/>
  <c r="R417" i="13" s="1"/>
  <c r="S417" i="13" s="1"/>
  <c r="L416" i="13"/>
  <c r="O416" i="13" s="1"/>
  <c r="R416" i="13" s="1"/>
  <c r="S416" i="13" s="1"/>
  <c r="L415" i="13"/>
  <c r="O415" i="13" s="1"/>
  <c r="R415" i="13" s="1"/>
  <c r="S415" i="13" s="1"/>
  <c r="L414" i="13"/>
  <c r="O414" i="13" s="1"/>
  <c r="R414" i="13" s="1"/>
  <c r="S414" i="13" s="1"/>
  <c r="L413" i="13"/>
  <c r="O413" i="13" s="1"/>
  <c r="R413" i="13" s="1"/>
  <c r="S413" i="13" s="1"/>
  <c r="L412" i="13"/>
  <c r="O412" i="13" s="1"/>
  <c r="R412" i="13" s="1"/>
  <c r="S412" i="13" s="1"/>
  <c r="L411" i="13"/>
  <c r="O411" i="13" s="1"/>
  <c r="R411" i="13" s="1"/>
  <c r="S411" i="13" s="1"/>
  <c r="L410" i="13"/>
  <c r="O410" i="13" s="1"/>
  <c r="R410" i="13" s="1"/>
  <c r="S410" i="13" s="1"/>
  <c r="L409" i="13"/>
  <c r="O409" i="13" s="1"/>
  <c r="R409" i="13" s="1"/>
  <c r="S409" i="13" s="1"/>
  <c r="L408" i="13"/>
  <c r="O408" i="13" s="1"/>
  <c r="R408" i="13" s="1"/>
  <c r="S408" i="13" s="1"/>
  <c r="L407" i="13"/>
  <c r="O407" i="13" s="1"/>
  <c r="R407" i="13" s="1"/>
  <c r="S407" i="13" s="1"/>
  <c r="L406" i="13"/>
  <c r="O406" i="13" s="1"/>
  <c r="R406" i="13" s="1"/>
  <c r="S406" i="13" s="1"/>
  <c r="L405" i="13"/>
  <c r="O405" i="13" s="1"/>
  <c r="R405" i="13" s="1"/>
  <c r="S405" i="13" s="1"/>
  <c r="L404" i="13"/>
  <c r="O404" i="13" s="1"/>
  <c r="R404" i="13" s="1"/>
  <c r="S404" i="13" s="1"/>
  <c r="L403" i="13"/>
  <c r="O403" i="13" s="1"/>
  <c r="R403" i="13" s="1"/>
  <c r="S403" i="13" s="1"/>
  <c r="L402" i="13"/>
  <c r="O402" i="13" s="1"/>
  <c r="R402" i="13" s="1"/>
  <c r="S402" i="13" s="1"/>
  <c r="L41" i="25" l="1"/>
  <c r="L40" i="25"/>
  <c r="L39" i="25"/>
  <c r="L38" i="25"/>
  <c r="L27" i="25"/>
  <c r="L26" i="25"/>
  <c r="L25" i="25"/>
  <c r="L24" i="25"/>
  <c r="L13" i="25"/>
  <c r="L12" i="25"/>
  <c r="L11" i="25"/>
  <c r="L10" i="25"/>
  <c r="L10" i="23"/>
  <c r="D1" i="24"/>
  <c r="L11" i="23" l="1"/>
  <c r="L12" i="23"/>
  <c r="L13" i="23"/>
  <c r="D2" i="19"/>
  <c r="D26" i="19" s="1"/>
  <c r="L380" i="13"/>
  <c r="O380" i="13"/>
  <c r="R380" i="13" s="1"/>
  <c r="S380" i="13" s="1"/>
  <c r="L392" i="13"/>
  <c r="O392" i="13" s="1"/>
  <c r="R392" i="13" s="1"/>
  <c r="S392" i="13" s="1"/>
  <c r="L394" i="13"/>
  <c r="O394" i="13" s="1"/>
  <c r="R394" i="13" s="1"/>
  <c r="S394" i="13" s="1"/>
  <c r="L164" i="13"/>
  <c r="O164" i="13" s="1"/>
  <c r="R164" i="13" s="1"/>
  <c r="S164" i="13" s="1"/>
  <c r="L12" i="13"/>
  <c r="O12" i="13" s="1"/>
  <c r="R12" i="13" s="1"/>
  <c r="S12" i="13" s="1"/>
  <c r="L13" i="13"/>
  <c r="O13" i="13" s="1"/>
  <c r="R13" i="13" s="1"/>
  <c r="S13" i="13" s="1"/>
  <c r="L14" i="13"/>
  <c r="O14" i="13" s="1"/>
  <c r="R14" i="13" s="1"/>
  <c r="S14" i="13" s="1"/>
  <c r="L15" i="13"/>
  <c r="O15" i="13" s="1"/>
  <c r="R15" i="13" s="1"/>
  <c r="S15" i="13" s="1"/>
  <c r="L16" i="13"/>
  <c r="O16" i="13" s="1"/>
  <c r="R16" i="13" s="1"/>
  <c r="S16" i="13" s="1"/>
  <c r="L17" i="13"/>
  <c r="O17" i="13" s="1"/>
  <c r="R17" i="13" s="1"/>
  <c r="S17" i="13" s="1"/>
  <c r="L18" i="13"/>
  <c r="O18" i="13" s="1"/>
  <c r="R18" i="13" s="1"/>
  <c r="S18" i="13" s="1"/>
  <c r="L19" i="13"/>
  <c r="O19" i="13" s="1"/>
  <c r="R19" i="13" s="1"/>
  <c r="S19" i="13" s="1"/>
  <c r="L20" i="13"/>
  <c r="O20" i="13" s="1"/>
  <c r="R20" i="13" s="1"/>
  <c r="S20" i="13" s="1"/>
  <c r="L21" i="13"/>
  <c r="O21" i="13" s="1"/>
  <c r="R21" i="13" s="1"/>
  <c r="S21" i="13" s="1"/>
  <c r="L22" i="13"/>
  <c r="O22" i="13" s="1"/>
  <c r="R22" i="13" s="1"/>
  <c r="S22" i="13" s="1"/>
  <c r="L23" i="13"/>
  <c r="O23" i="13" s="1"/>
  <c r="R23" i="13" s="1"/>
  <c r="S23" i="13" s="1"/>
  <c r="L24" i="13"/>
  <c r="O24" i="13" s="1"/>
  <c r="R24" i="13" s="1"/>
  <c r="S24" i="13" s="1"/>
  <c r="L25" i="13"/>
  <c r="O25" i="13" s="1"/>
  <c r="R25" i="13" s="1"/>
  <c r="S25" i="13" s="1"/>
  <c r="L26" i="13"/>
  <c r="O26" i="13" s="1"/>
  <c r="R26" i="13" s="1"/>
  <c r="S26" i="13" s="1"/>
  <c r="L27" i="13"/>
  <c r="O27" i="13" s="1"/>
  <c r="R27" i="13" s="1"/>
  <c r="S27" i="13" s="1"/>
  <c r="L28" i="13"/>
  <c r="O28" i="13" s="1"/>
  <c r="R28" i="13" s="1"/>
  <c r="S28" i="13" s="1"/>
  <c r="L29" i="13"/>
  <c r="L30" i="13"/>
  <c r="O30" i="13" s="1"/>
  <c r="R30" i="13" s="1"/>
  <c r="S30" i="13" s="1"/>
  <c r="L31" i="13"/>
  <c r="O31" i="13" s="1"/>
  <c r="R31" i="13" s="1"/>
  <c r="S31" i="13" s="1"/>
  <c r="L32" i="13"/>
  <c r="O32" i="13" s="1"/>
  <c r="R32" i="13" s="1"/>
  <c r="S32" i="13" s="1"/>
  <c r="L33" i="13"/>
  <c r="O33" i="13" s="1"/>
  <c r="R33" i="13" s="1"/>
  <c r="S33" i="13" s="1"/>
  <c r="L34" i="13"/>
  <c r="O34" i="13" s="1"/>
  <c r="R34" i="13" s="1"/>
  <c r="S34" i="13" s="1"/>
  <c r="L35" i="13"/>
  <c r="O35" i="13" s="1"/>
  <c r="R35" i="13" s="1"/>
  <c r="S35" i="13" s="1"/>
  <c r="L36" i="13"/>
  <c r="O36" i="13" s="1"/>
  <c r="R36" i="13" s="1"/>
  <c r="S36" i="13" s="1"/>
  <c r="L37" i="13"/>
  <c r="O37" i="13" s="1"/>
  <c r="R37" i="13" s="1"/>
  <c r="S37" i="13" s="1"/>
  <c r="L38" i="13"/>
  <c r="O38" i="13" s="1"/>
  <c r="R38" i="13" s="1"/>
  <c r="S38" i="13" s="1"/>
  <c r="L39" i="13"/>
  <c r="O39" i="13" s="1"/>
  <c r="R39" i="13" s="1"/>
  <c r="S39" i="13" s="1"/>
  <c r="L40" i="13"/>
  <c r="O40" i="13" s="1"/>
  <c r="R40" i="13" s="1"/>
  <c r="S40" i="13" s="1"/>
  <c r="L41" i="13"/>
  <c r="O41" i="13" s="1"/>
  <c r="R41" i="13" s="1"/>
  <c r="S41" i="13" s="1"/>
  <c r="L42" i="13"/>
  <c r="O42" i="13" s="1"/>
  <c r="R42" i="13" s="1"/>
  <c r="S42" i="13" s="1"/>
  <c r="L43" i="13"/>
  <c r="O43" i="13" s="1"/>
  <c r="R43" i="13" s="1"/>
  <c r="S43" i="13" s="1"/>
  <c r="L44" i="13"/>
  <c r="O44" i="13" s="1"/>
  <c r="R44" i="13" s="1"/>
  <c r="S44" i="13" s="1"/>
  <c r="L45" i="13"/>
  <c r="O45" i="13" s="1"/>
  <c r="R45" i="13" s="1"/>
  <c r="S45" i="13" s="1"/>
  <c r="L46" i="13"/>
  <c r="O46" i="13" s="1"/>
  <c r="R46" i="13" s="1"/>
  <c r="S46" i="13" s="1"/>
  <c r="L47" i="13"/>
  <c r="O47" i="13" s="1"/>
  <c r="R47" i="13" s="1"/>
  <c r="S47" i="13" s="1"/>
  <c r="L48" i="13"/>
  <c r="O48" i="13" s="1"/>
  <c r="R48" i="13" s="1"/>
  <c r="S48" i="13" s="1"/>
  <c r="L49" i="13"/>
  <c r="O49" i="13" s="1"/>
  <c r="R49" i="13" s="1"/>
  <c r="S49" i="13" s="1"/>
  <c r="L50" i="13"/>
  <c r="O50" i="13" s="1"/>
  <c r="R50" i="13" s="1"/>
  <c r="S50" i="13" s="1"/>
  <c r="L51" i="13"/>
  <c r="O51" i="13" s="1"/>
  <c r="R51" i="13" s="1"/>
  <c r="S51" i="13" s="1"/>
  <c r="L52" i="13"/>
  <c r="O52" i="13" s="1"/>
  <c r="R52" i="13" s="1"/>
  <c r="S52" i="13" s="1"/>
  <c r="L53" i="13"/>
  <c r="O53" i="13" s="1"/>
  <c r="R53" i="13" s="1"/>
  <c r="S53" i="13" s="1"/>
  <c r="L54" i="13"/>
  <c r="O54" i="13" s="1"/>
  <c r="R54" i="13" s="1"/>
  <c r="S54" i="13" s="1"/>
  <c r="L55" i="13"/>
  <c r="O55" i="13" s="1"/>
  <c r="R55" i="13" s="1"/>
  <c r="S55" i="13" s="1"/>
  <c r="L56" i="13"/>
  <c r="O56" i="13" s="1"/>
  <c r="R56" i="13" s="1"/>
  <c r="S56" i="13" s="1"/>
  <c r="L57" i="13"/>
  <c r="O57" i="13" s="1"/>
  <c r="R57" i="13" s="1"/>
  <c r="S57" i="13" s="1"/>
  <c r="L58" i="13"/>
  <c r="O58" i="13" s="1"/>
  <c r="R58" i="13" s="1"/>
  <c r="S58" i="13" s="1"/>
  <c r="L59" i="13"/>
  <c r="O59" i="13" s="1"/>
  <c r="R59" i="13" s="1"/>
  <c r="S59" i="13" s="1"/>
  <c r="L60" i="13"/>
  <c r="O60" i="13" s="1"/>
  <c r="R60" i="13" s="1"/>
  <c r="S60" i="13" s="1"/>
  <c r="L61" i="13"/>
  <c r="O61" i="13" s="1"/>
  <c r="R61" i="13" s="1"/>
  <c r="S61" i="13" s="1"/>
  <c r="L62" i="13"/>
  <c r="O62" i="13" s="1"/>
  <c r="R62" i="13" s="1"/>
  <c r="S62" i="13" s="1"/>
  <c r="L63" i="13"/>
  <c r="O63" i="13" s="1"/>
  <c r="R63" i="13" s="1"/>
  <c r="S63" i="13" s="1"/>
  <c r="L64" i="13"/>
  <c r="O64" i="13" s="1"/>
  <c r="R64" i="13" s="1"/>
  <c r="S64" i="13" s="1"/>
  <c r="L65" i="13"/>
  <c r="O65" i="13" s="1"/>
  <c r="R65" i="13" s="1"/>
  <c r="S65" i="13" s="1"/>
  <c r="L66" i="13"/>
  <c r="O66" i="13" s="1"/>
  <c r="R66" i="13" s="1"/>
  <c r="S66" i="13" s="1"/>
  <c r="L67" i="13"/>
  <c r="O67" i="13" s="1"/>
  <c r="R67" i="13" s="1"/>
  <c r="S67" i="13" s="1"/>
  <c r="L68" i="13"/>
  <c r="O68" i="13" s="1"/>
  <c r="R68" i="13" s="1"/>
  <c r="S68" i="13" s="1"/>
  <c r="L69" i="13"/>
  <c r="O69" i="13" s="1"/>
  <c r="R69" i="13" s="1"/>
  <c r="S69" i="13" s="1"/>
  <c r="L70" i="13"/>
  <c r="O70" i="13" s="1"/>
  <c r="R70" i="13" s="1"/>
  <c r="S70" i="13" s="1"/>
  <c r="L71" i="13"/>
  <c r="O71" i="13" s="1"/>
  <c r="R71" i="13" s="1"/>
  <c r="S71" i="13" s="1"/>
  <c r="L72" i="13"/>
  <c r="O72" i="13" s="1"/>
  <c r="R72" i="13" s="1"/>
  <c r="S72" i="13" s="1"/>
  <c r="L73" i="13"/>
  <c r="O73" i="13" s="1"/>
  <c r="R73" i="13" s="1"/>
  <c r="S73" i="13" s="1"/>
  <c r="L74" i="13"/>
  <c r="O74" i="13" s="1"/>
  <c r="R74" i="13" s="1"/>
  <c r="S74" i="13" s="1"/>
  <c r="L75" i="13"/>
  <c r="O75" i="13" s="1"/>
  <c r="R75" i="13" s="1"/>
  <c r="S75" i="13" s="1"/>
  <c r="L76" i="13"/>
  <c r="O76" i="13" s="1"/>
  <c r="R76" i="13" s="1"/>
  <c r="S76" i="13" s="1"/>
  <c r="L77" i="13"/>
  <c r="O77" i="13" s="1"/>
  <c r="R77" i="13" s="1"/>
  <c r="S77" i="13" s="1"/>
  <c r="L78" i="13"/>
  <c r="O78" i="13" s="1"/>
  <c r="R78" i="13" s="1"/>
  <c r="S78" i="13" s="1"/>
  <c r="L79" i="13"/>
  <c r="O79" i="13" s="1"/>
  <c r="R79" i="13" s="1"/>
  <c r="S79" i="13" s="1"/>
  <c r="L80" i="13"/>
  <c r="O80" i="13" s="1"/>
  <c r="R80" i="13" s="1"/>
  <c r="S80" i="13" s="1"/>
  <c r="L81" i="13"/>
  <c r="O81" i="13" s="1"/>
  <c r="R81" i="13" s="1"/>
  <c r="S81" i="13" s="1"/>
  <c r="L82" i="13"/>
  <c r="O82" i="13" s="1"/>
  <c r="R82" i="13" s="1"/>
  <c r="S82" i="13" s="1"/>
  <c r="L83" i="13"/>
  <c r="O83" i="13" s="1"/>
  <c r="R83" i="13" s="1"/>
  <c r="S83" i="13" s="1"/>
  <c r="L84" i="13"/>
  <c r="O84" i="13" s="1"/>
  <c r="R84" i="13" s="1"/>
  <c r="S84" i="13" s="1"/>
  <c r="O29" i="13"/>
  <c r="R29" i="13" s="1"/>
  <c r="S29" i="13" s="1"/>
  <c r="L85" i="13"/>
  <c r="O85" i="13" s="1"/>
  <c r="R85" i="13" s="1"/>
  <c r="S85" i="13" s="1"/>
  <c r="L86" i="13"/>
  <c r="O86" i="13" s="1"/>
  <c r="R86" i="13" s="1"/>
  <c r="S86" i="13" s="1"/>
  <c r="L87" i="13"/>
  <c r="O87" i="13" s="1"/>
  <c r="R87" i="13" s="1"/>
  <c r="S87" i="13" s="1"/>
  <c r="L88" i="13"/>
  <c r="O88" i="13" s="1"/>
  <c r="R88" i="13" s="1"/>
  <c r="S88" i="13" s="1"/>
  <c r="L89" i="13"/>
  <c r="O89" i="13" s="1"/>
  <c r="R89" i="13" s="1"/>
  <c r="S89" i="13" s="1"/>
  <c r="L90" i="13"/>
  <c r="O90" i="13" s="1"/>
  <c r="R90" i="13" s="1"/>
  <c r="S90" i="13" s="1"/>
  <c r="L91" i="13"/>
  <c r="O91" i="13" s="1"/>
  <c r="R91" i="13" s="1"/>
  <c r="S91" i="13" s="1"/>
  <c r="L92" i="13"/>
  <c r="O92" i="13" s="1"/>
  <c r="R92" i="13" s="1"/>
  <c r="S92" i="13" s="1"/>
  <c r="L93" i="13"/>
  <c r="O93" i="13" s="1"/>
  <c r="R93" i="13" s="1"/>
  <c r="S93" i="13" s="1"/>
  <c r="L94" i="13"/>
  <c r="O94" i="13" s="1"/>
  <c r="R94" i="13" s="1"/>
  <c r="S94" i="13" s="1"/>
  <c r="L95" i="13"/>
  <c r="O95" i="13" s="1"/>
  <c r="R95" i="13" s="1"/>
  <c r="S95" i="13" s="1"/>
  <c r="L96" i="13"/>
  <c r="O96" i="13" s="1"/>
  <c r="R96" i="13" s="1"/>
  <c r="S96" i="13" s="1"/>
  <c r="L97" i="13"/>
  <c r="O97" i="13" s="1"/>
  <c r="R97" i="13" s="1"/>
  <c r="S97" i="13" s="1"/>
  <c r="L98" i="13"/>
  <c r="O98" i="13" s="1"/>
  <c r="R98" i="13" s="1"/>
  <c r="S98" i="13" s="1"/>
  <c r="L99" i="13"/>
  <c r="O99" i="13" s="1"/>
  <c r="R99" i="13" s="1"/>
  <c r="S99" i="13" s="1"/>
  <c r="L100" i="13"/>
  <c r="O100" i="13" s="1"/>
  <c r="R100" i="13" s="1"/>
  <c r="S100" i="13" s="1"/>
  <c r="L101" i="13"/>
  <c r="O101" i="13" s="1"/>
  <c r="R101" i="13" s="1"/>
  <c r="S101" i="13" s="1"/>
  <c r="L102" i="13"/>
  <c r="O102" i="13" s="1"/>
  <c r="R102" i="13" s="1"/>
  <c r="S102" i="13" s="1"/>
  <c r="L103" i="13"/>
  <c r="O103" i="13" s="1"/>
  <c r="R103" i="13" s="1"/>
  <c r="S103" i="13" s="1"/>
  <c r="L104" i="13"/>
  <c r="O104" i="13" s="1"/>
  <c r="R104" i="13" s="1"/>
  <c r="S104" i="13" s="1"/>
  <c r="L105" i="13"/>
  <c r="O105" i="13" s="1"/>
  <c r="R105" i="13" s="1"/>
  <c r="S105" i="13" s="1"/>
  <c r="L106" i="13"/>
  <c r="O106" i="13" s="1"/>
  <c r="R106" i="13" s="1"/>
  <c r="S106" i="13" s="1"/>
  <c r="L107" i="13"/>
  <c r="O107" i="13" s="1"/>
  <c r="R107" i="13" s="1"/>
  <c r="S107" i="13" s="1"/>
  <c r="L108" i="13"/>
  <c r="O108" i="13" s="1"/>
  <c r="R108" i="13" s="1"/>
  <c r="S108" i="13" s="1"/>
  <c r="L109" i="13"/>
  <c r="O109" i="13" s="1"/>
  <c r="R109" i="13" s="1"/>
  <c r="S109" i="13" s="1"/>
  <c r="L110" i="13"/>
  <c r="O110" i="13" s="1"/>
  <c r="R110" i="13" s="1"/>
  <c r="S110" i="13" s="1"/>
  <c r="L111" i="13"/>
  <c r="O111" i="13" s="1"/>
  <c r="R111" i="13" s="1"/>
  <c r="S111" i="13" s="1"/>
  <c r="L112" i="13"/>
  <c r="O112" i="13" s="1"/>
  <c r="R112" i="13" s="1"/>
  <c r="S112" i="13" s="1"/>
  <c r="L113" i="13"/>
  <c r="O113" i="13" s="1"/>
  <c r="R113" i="13" s="1"/>
  <c r="S113" i="13" s="1"/>
  <c r="L114" i="13"/>
  <c r="O114" i="13" s="1"/>
  <c r="R114" i="13" s="1"/>
  <c r="S114" i="13" s="1"/>
  <c r="L115" i="13"/>
  <c r="O115" i="13" s="1"/>
  <c r="R115" i="13" s="1"/>
  <c r="S115" i="13" s="1"/>
  <c r="L116" i="13"/>
  <c r="O116" i="13" s="1"/>
  <c r="R116" i="13" s="1"/>
  <c r="S116" i="13" s="1"/>
  <c r="L117" i="13"/>
  <c r="O117" i="13" s="1"/>
  <c r="R117" i="13" s="1"/>
  <c r="S117" i="13" s="1"/>
  <c r="L118" i="13"/>
  <c r="O118" i="13" s="1"/>
  <c r="R118" i="13" s="1"/>
  <c r="S118" i="13" s="1"/>
  <c r="L119" i="13"/>
  <c r="O119" i="13" s="1"/>
  <c r="R119" i="13" s="1"/>
  <c r="S119" i="13" s="1"/>
  <c r="L120" i="13"/>
  <c r="O120" i="13" s="1"/>
  <c r="R120" i="13" s="1"/>
  <c r="S120" i="13" s="1"/>
  <c r="L121" i="13"/>
  <c r="O121" i="13" s="1"/>
  <c r="R121" i="13" s="1"/>
  <c r="S121" i="13" s="1"/>
  <c r="L122" i="13"/>
  <c r="O122" i="13" s="1"/>
  <c r="R122" i="13" s="1"/>
  <c r="S122" i="13" s="1"/>
  <c r="L123" i="13"/>
  <c r="O123" i="13" s="1"/>
  <c r="R123" i="13" s="1"/>
  <c r="S123" i="13" s="1"/>
  <c r="L124" i="13"/>
  <c r="O124" i="13" s="1"/>
  <c r="R124" i="13" s="1"/>
  <c r="S124" i="13" s="1"/>
  <c r="L125" i="13"/>
  <c r="O125" i="13" s="1"/>
  <c r="R125" i="13" s="1"/>
  <c r="S125" i="13" s="1"/>
  <c r="L126" i="13"/>
  <c r="O126" i="13" s="1"/>
  <c r="R126" i="13" s="1"/>
  <c r="S126" i="13" s="1"/>
  <c r="L127" i="13"/>
  <c r="O127" i="13" s="1"/>
  <c r="R127" i="13" s="1"/>
  <c r="S127" i="13" s="1"/>
  <c r="L128" i="13"/>
  <c r="O128" i="13" s="1"/>
  <c r="R128" i="13" s="1"/>
  <c r="S128" i="13" s="1"/>
  <c r="L129" i="13"/>
  <c r="O129" i="13" s="1"/>
  <c r="R129" i="13" s="1"/>
  <c r="S129" i="13" s="1"/>
  <c r="L130" i="13"/>
  <c r="O130" i="13" s="1"/>
  <c r="R130" i="13" s="1"/>
  <c r="S130" i="13" s="1"/>
  <c r="L131" i="13"/>
  <c r="O131" i="13" s="1"/>
  <c r="R131" i="13" s="1"/>
  <c r="S131" i="13" s="1"/>
  <c r="L132" i="13"/>
  <c r="O132" i="13" s="1"/>
  <c r="R132" i="13" s="1"/>
  <c r="S132" i="13" s="1"/>
  <c r="L133" i="13"/>
  <c r="O133" i="13" s="1"/>
  <c r="R133" i="13" s="1"/>
  <c r="S133" i="13" s="1"/>
  <c r="L134" i="13"/>
  <c r="O134" i="13" s="1"/>
  <c r="R134" i="13" s="1"/>
  <c r="S134" i="13" s="1"/>
  <c r="L135" i="13"/>
  <c r="O135" i="13" s="1"/>
  <c r="R135" i="13" s="1"/>
  <c r="S135" i="13" s="1"/>
  <c r="L136" i="13"/>
  <c r="O136" i="13" s="1"/>
  <c r="R136" i="13" s="1"/>
  <c r="S136" i="13" s="1"/>
  <c r="L137" i="13"/>
  <c r="O137" i="13" s="1"/>
  <c r="R137" i="13" s="1"/>
  <c r="S137" i="13" s="1"/>
  <c r="L138" i="13"/>
  <c r="O138" i="13" s="1"/>
  <c r="R138" i="13" s="1"/>
  <c r="S138" i="13" s="1"/>
  <c r="L139" i="13"/>
  <c r="O139" i="13" s="1"/>
  <c r="R139" i="13" s="1"/>
  <c r="S139" i="13" s="1"/>
  <c r="L140" i="13"/>
  <c r="O140" i="13" s="1"/>
  <c r="R140" i="13" s="1"/>
  <c r="S140" i="13" s="1"/>
  <c r="L141" i="13"/>
  <c r="O141" i="13" s="1"/>
  <c r="R141" i="13" s="1"/>
  <c r="S141" i="13" s="1"/>
  <c r="L142" i="13"/>
  <c r="O142" i="13" s="1"/>
  <c r="R142" i="13" s="1"/>
  <c r="S142" i="13" s="1"/>
  <c r="L143" i="13"/>
  <c r="O143" i="13" s="1"/>
  <c r="R143" i="13" s="1"/>
  <c r="S143" i="13" s="1"/>
  <c r="L144" i="13"/>
  <c r="O144" i="13" s="1"/>
  <c r="R144" i="13" s="1"/>
  <c r="S144" i="13" s="1"/>
  <c r="L145" i="13"/>
  <c r="O145" i="13" s="1"/>
  <c r="R145" i="13" s="1"/>
  <c r="S145" i="13" s="1"/>
  <c r="L146" i="13"/>
  <c r="O146" i="13" s="1"/>
  <c r="R146" i="13" s="1"/>
  <c r="S146" i="13" s="1"/>
  <c r="L147" i="13"/>
  <c r="O147" i="13" s="1"/>
  <c r="R147" i="13" s="1"/>
  <c r="S147" i="13" s="1"/>
  <c r="L148" i="13"/>
  <c r="O148" i="13" s="1"/>
  <c r="R148" i="13" s="1"/>
  <c r="S148" i="13" s="1"/>
  <c r="L149" i="13"/>
  <c r="O149" i="13" s="1"/>
  <c r="R149" i="13" s="1"/>
  <c r="S149" i="13" s="1"/>
  <c r="L150" i="13"/>
  <c r="O150" i="13" s="1"/>
  <c r="R150" i="13" s="1"/>
  <c r="S150" i="13" s="1"/>
  <c r="L151" i="13"/>
  <c r="O151" i="13" s="1"/>
  <c r="R151" i="13" s="1"/>
  <c r="S151" i="13" s="1"/>
  <c r="L152" i="13"/>
  <c r="O152" i="13" s="1"/>
  <c r="R152" i="13" s="1"/>
  <c r="S152" i="13" s="1"/>
  <c r="L153" i="13"/>
  <c r="O153" i="13" s="1"/>
  <c r="R153" i="13" s="1"/>
  <c r="S153" i="13" s="1"/>
  <c r="L154" i="13"/>
  <c r="O154" i="13" s="1"/>
  <c r="R154" i="13" s="1"/>
  <c r="S154" i="13" s="1"/>
  <c r="L155" i="13"/>
  <c r="O155" i="13" s="1"/>
  <c r="R155" i="13" s="1"/>
  <c r="S155" i="13" s="1"/>
  <c r="L156" i="13"/>
  <c r="O156" i="13" s="1"/>
  <c r="R156" i="13" s="1"/>
  <c r="S156" i="13" s="1"/>
  <c r="L157" i="13"/>
  <c r="O157" i="13" s="1"/>
  <c r="R157" i="13" s="1"/>
  <c r="S157" i="13" s="1"/>
  <c r="L158" i="13"/>
  <c r="O158" i="13" s="1"/>
  <c r="R158" i="13" s="1"/>
  <c r="S158" i="13" s="1"/>
  <c r="L159" i="13"/>
  <c r="O159" i="13" s="1"/>
  <c r="R159" i="13" s="1"/>
  <c r="S159" i="13" s="1"/>
  <c r="L160" i="13"/>
  <c r="O160" i="13" s="1"/>
  <c r="R160" i="13" s="1"/>
  <c r="S160" i="13" s="1"/>
  <c r="L161" i="13"/>
  <c r="O161" i="13" s="1"/>
  <c r="R161" i="13" s="1"/>
  <c r="S161" i="13" s="1"/>
  <c r="L162" i="13"/>
  <c r="O162" i="13" s="1"/>
  <c r="R162" i="13" s="1"/>
  <c r="S162" i="13" s="1"/>
  <c r="L163" i="13"/>
  <c r="O163" i="13" s="1"/>
  <c r="R163" i="13" s="1"/>
  <c r="S163" i="13" s="1"/>
  <c r="L165" i="13"/>
  <c r="O165" i="13" s="1"/>
  <c r="R165" i="13" s="1"/>
  <c r="S165" i="13" s="1"/>
  <c r="L166" i="13"/>
  <c r="O166" i="13" s="1"/>
  <c r="R166" i="13" s="1"/>
  <c r="S166" i="13" s="1"/>
  <c r="L167" i="13"/>
  <c r="O167" i="13" s="1"/>
  <c r="R167" i="13" s="1"/>
  <c r="S167" i="13" s="1"/>
  <c r="L168" i="13"/>
  <c r="O168" i="13" s="1"/>
  <c r="R168" i="13" s="1"/>
  <c r="S168" i="13" s="1"/>
  <c r="L169" i="13"/>
  <c r="O169" i="13" s="1"/>
  <c r="R169" i="13" s="1"/>
  <c r="S169" i="13" s="1"/>
  <c r="L170" i="13"/>
  <c r="O170" i="13" s="1"/>
  <c r="R170" i="13" s="1"/>
  <c r="S170" i="13" s="1"/>
  <c r="L171" i="13"/>
  <c r="O171" i="13" s="1"/>
  <c r="R171" i="13" s="1"/>
  <c r="S171" i="13" s="1"/>
  <c r="L172" i="13"/>
  <c r="O172" i="13" s="1"/>
  <c r="R172" i="13" s="1"/>
  <c r="S172" i="13" s="1"/>
  <c r="L173" i="13"/>
  <c r="O173" i="13" s="1"/>
  <c r="R173" i="13" s="1"/>
  <c r="S173" i="13" s="1"/>
  <c r="L174" i="13"/>
  <c r="O174" i="13" s="1"/>
  <c r="R174" i="13" s="1"/>
  <c r="S174" i="13" s="1"/>
  <c r="L175" i="13"/>
  <c r="O175" i="13" s="1"/>
  <c r="R175" i="13" s="1"/>
  <c r="S175" i="13" s="1"/>
  <c r="L176" i="13"/>
  <c r="O176" i="13" s="1"/>
  <c r="R176" i="13" s="1"/>
  <c r="S176" i="13" s="1"/>
  <c r="L177" i="13"/>
  <c r="O177" i="13" s="1"/>
  <c r="R177" i="13" s="1"/>
  <c r="S177" i="13" s="1"/>
  <c r="L178" i="13"/>
  <c r="O178" i="13" s="1"/>
  <c r="R178" i="13" s="1"/>
  <c r="S178" i="13" s="1"/>
  <c r="L179" i="13"/>
  <c r="O179" i="13" s="1"/>
  <c r="R179" i="13" s="1"/>
  <c r="S179" i="13" s="1"/>
  <c r="L180" i="13"/>
  <c r="O180" i="13" s="1"/>
  <c r="R180" i="13" s="1"/>
  <c r="S180" i="13" s="1"/>
  <c r="L181" i="13"/>
  <c r="O181" i="13" s="1"/>
  <c r="R181" i="13" s="1"/>
  <c r="S181" i="13" s="1"/>
  <c r="L182" i="13"/>
  <c r="O182" i="13" s="1"/>
  <c r="R182" i="13" s="1"/>
  <c r="S182" i="13" s="1"/>
  <c r="L183" i="13"/>
  <c r="O183" i="13" s="1"/>
  <c r="R183" i="13" s="1"/>
  <c r="S183" i="13" s="1"/>
  <c r="L184" i="13"/>
  <c r="O184" i="13" s="1"/>
  <c r="R184" i="13" s="1"/>
  <c r="S184" i="13" s="1"/>
  <c r="L185" i="13"/>
  <c r="O185" i="13" s="1"/>
  <c r="R185" i="13" s="1"/>
  <c r="S185" i="13" s="1"/>
  <c r="L186" i="13"/>
  <c r="O186" i="13" s="1"/>
  <c r="R186" i="13" s="1"/>
  <c r="S186" i="13" s="1"/>
  <c r="L187" i="13"/>
  <c r="O187" i="13" s="1"/>
  <c r="R187" i="13" s="1"/>
  <c r="S187" i="13" s="1"/>
  <c r="L188" i="13"/>
  <c r="O188" i="13" s="1"/>
  <c r="R188" i="13" s="1"/>
  <c r="S188" i="13" s="1"/>
  <c r="L189" i="13"/>
  <c r="O189" i="13" s="1"/>
  <c r="R189" i="13" s="1"/>
  <c r="S189" i="13" s="1"/>
  <c r="L190" i="13"/>
  <c r="O190" i="13" s="1"/>
  <c r="R190" i="13" s="1"/>
  <c r="S190" i="13" s="1"/>
  <c r="L191" i="13"/>
  <c r="O191" i="13" s="1"/>
  <c r="R191" i="13" s="1"/>
  <c r="S191" i="13" s="1"/>
  <c r="L192" i="13"/>
  <c r="O192" i="13" s="1"/>
  <c r="R192" i="13" s="1"/>
  <c r="S192" i="13" s="1"/>
  <c r="L193" i="13"/>
  <c r="O193" i="13" s="1"/>
  <c r="R193" i="13" s="1"/>
  <c r="S193" i="13" s="1"/>
  <c r="L194" i="13"/>
  <c r="O194" i="13" s="1"/>
  <c r="R194" i="13" s="1"/>
  <c r="S194" i="13" s="1"/>
  <c r="L195" i="13"/>
  <c r="O195" i="13" s="1"/>
  <c r="R195" i="13" s="1"/>
  <c r="S195" i="13" s="1"/>
  <c r="L196" i="13"/>
  <c r="O196" i="13" s="1"/>
  <c r="R196" i="13" s="1"/>
  <c r="S196" i="13" s="1"/>
  <c r="L197" i="13"/>
  <c r="O197" i="13" s="1"/>
  <c r="R197" i="13" s="1"/>
  <c r="S197" i="13" s="1"/>
  <c r="L198" i="13"/>
  <c r="O198" i="13" s="1"/>
  <c r="R198" i="13" s="1"/>
  <c r="S198" i="13" s="1"/>
  <c r="L199" i="13"/>
  <c r="O199" i="13" s="1"/>
  <c r="R199" i="13" s="1"/>
  <c r="S199" i="13" s="1"/>
  <c r="L200" i="13"/>
  <c r="O200" i="13" s="1"/>
  <c r="R200" i="13" s="1"/>
  <c r="S200" i="13" s="1"/>
  <c r="L201" i="13"/>
  <c r="O201" i="13" s="1"/>
  <c r="R201" i="13" s="1"/>
  <c r="S201" i="13" s="1"/>
  <c r="L202" i="13"/>
  <c r="O202" i="13" s="1"/>
  <c r="R202" i="13" s="1"/>
  <c r="S202" i="13" s="1"/>
  <c r="L203" i="13"/>
  <c r="O203" i="13" s="1"/>
  <c r="R203" i="13" s="1"/>
  <c r="S203" i="13" s="1"/>
  <c r="L204" i="13"/>
  <c r="O204" i="13" s="1"/>
  <c r="R204" i="13" s="1"/>
  <c r="S204" i="13" s="1"/>
  <c r="L205" i="13"/>
  <c r="O205" i="13" s="1"/>
  <c r="R205" i="13" s="1"/>
  <c r="S205" i="13" s="1"/>
  <c r="L206" i="13"/>
  <c r="O206" i="13" s="1"/>
  <c r="R206" i="13" s="1"/>
  <c r="S206" i="13" s="1"/>
  <c r="L207" i="13"/>
  <c r="O207" i="13" s="1"/>
  <c r="R207" i="13" s="1"/>
  <c r="S207" i="13" s="1"/>
  <c r="L208" i="13"/>
  <c r="O208" i="13" s="1"/>
  <c r="R208" i="13" s="1"/>
  <c r="S208" i="13" s="1"/>
  <c r="L209" i="13"/>
  <c r="O209" i="13" s="1"/>
  <c r="R209" i="13" s="1"/>
  <c r="S209" i="13" s="1"/>
  <c r="L210" i="13"/>
  <c r="O210" i="13" s="1"/>
  <c r="R210" i="13" s="1"/>
  <c r="S210" i="13" s="1"/>
  <c r="L211" i="13"/>
  <c r="O211" i="13" s="1"/>
  <c r="R211" i="13" s="1"/>
  <c r="S211" i="13" s="1"/>
  <c r="L212" i="13"/>
  <c r="O212" i="13" s="1"/>
  <c r="R212" i="13" s="1"/>
  <c r="S212" i="13" s="1"/>
  <c r="L213" i="13"/>
  <c r="O213" i="13" s="1"/>
  <c r="R213" i="13" s="1"/>
  <c r="S213" i="13" s="1"/>
  <c r="L214" i="13"/>
  <c r="O214" i="13" s="1"/>
  <c r="R214" i="13" s="1"/>
  <c r="S214" i="13" s="1"/>
  <c r="L215" i="13"/>
  <c r="O215" i="13" s="1"/>
  <c r="R215" i="13" s="1"/>
  <c r="S215" i="13" s="1"/>
  <c r="L216" i="13"/>
  <c r="O216" i="13" s="1"/>
  <c r="R216" i="13" s="1"/>
  <c r="S216" i="13" s="1"/>
  <c r="L217" i="13"/>
  <c r="O217" i="13" s="1"/>
  <c r="R217" i="13" s="1"/>
  <c r="S217" i="13" s="1"/>
  <c r="L218" i="13"/>
  <c r="O218" i="13" s="1"/>
  <c r="R218" i="13" s="1"/>
  <c r="S218" i="13" s="1"/>
  <c r="L219" i="13"/>
  <c r="O219" i="13" s="1"/>
  <c r="R219" i="13" s="1"/>
  <c r="S219" i="13" s="1"/>
  <c r="L220" i="13"/>
  <c r="O220" i="13" s="1"/>
  <c r="R220" i="13" s="1"/>
  <c r="S220" i="13" s="1"/>
  <c r="L221" i="13"/>
  <c r="O221" i="13" s="1"/>
  <c r="R221" i="13" s="1"/>
  <c r="S221" i="13" s="1"/>
  <c r="L222" i="13"/>
  <c r="O222" i="13" s="1"/>
  <c r="R222" i="13" s="1"/>
  <c r="S222" i="13" s="1"/>
  <c r="L223" i="13"/>
  <c r="O223" i="13" s="1"/>
  <c r="R223" i="13" s="1"/>
  <c r="S223" i="13" s="1"/>
  <c r="L224" i="13"/>
  <c r="O224" i="13" s="1"/>
  <c r="R224" i="13" s="1"/>
  <c r="S224" i="13" s="1"/>
  <c r="L225" i="13"/>
  <c r="O225" i="13" s="1"/>
  <c r="R225" i="13" s="1"/>
  <c r="S225" i="13" s="1"/>
  <c r="L226" i="13"/>
  <c r="O226" i="13" s="1"/>
  <c r="R226" i="13" s="1"/>
  <c r="S226" i="13" s="1"/>
  <c r="L227" i="13"/>
  <c r="O227" i="13" s="1"/>
  <c r="R227" i="13" s="1"/>
  <c r="S227" i="13" s="1"/>
  <c r="L228" i="13"/>
  <c r="O228" i="13" s="1"/>
  <c r="R228" i="13" s="1"/>
  <c r="S228" i="13" s="1"/>
  <c r="L229" i="13"/>
  <c r="O229" i="13" s="1"/>
  <c r="R229" i="13" s="1"/>
  <c r="S229" i="13" s="1"/>
  <c r="L230" i="13"/>
  <c r="O230" i="13" s="1"/>
  <c r="R230" i="13" s="1"/>
  <c r="S230" i="13" s="1"/>
  <c r="L231" i="13"/>
  <c r="O231" i="13" s="1"/>
  <c r="R231" i="13" s="1"/>
  <c r="S231" i="13" s="1"/>
  <c r="L232" i="13"/>
  <c r="O232" i="13" s="1"/>
  <c r="R232" i="13" s="1"/>
  <c r="S232" i="13" s="1"/>
  <c r="L233" i="13"/>
  <c r="O233" i="13" s="1"/>
  <c r="R233" i="13" s="1"/>
  <c r="S233" i="13" s="1"/>
  <c r="L234" i="13"/>
  <c r="O234" i="13" s="1"/>
  <c r="R234" i="13" s="1"/>
  <c r="S234" i="13" s="1"/>
  <c r="L235" i="13"/>
  <c r="O235" i="13" s="1"/>
  <c r="R235" i="13" s="1"/>
  <c r="S235" i="13" s="1"/>
  <c r="L236" i="13"/>
  <c r="O236" i="13" s="1"/>
  <c r="R236" i="13" s="1"/>
  <c r="S236" i="13" s="1"/>
  <c r="L237" i="13"/>
  <c r="O237" i="13" s="1"/>
  <c r="R237" i="13" s="1"/>
  <c r="S237" i="13" s="1"/>
  <c r="L238" i="13"/>
  <c r="O238" i="13" s="1"/>
  <c r="R238" i="13" s="1"/>
  <c r="S238" i="13" s="1"/>
  <c r="L239" i="13"/>
  <c r="O239" i="13" s="1"/>
  <c r="R239" i="13" s="1"/>
  <c r="S239" i="13" s="1"/>
  <c r="L240" i="13"/>
  <c r="O240" i="13" s="1"/>
  <c r="R240" i="13" s="1"/>
  <c r="S240" i="13" s="1"/>
  <c r="L241" i="13"/>
  <c r="O241" i="13" s="1"/>
  <c r="R241" i="13" s="1"/>
  <c r="S241" i="13" s="1"/>
  <c r="L242" i="13"/>
  <c r="O242" i="13" s="1"/>
  <c r="R242" i="13" s="1"/>
  <c r="S242" i="13" s="1"/>
  <c r="L243" i="13"/>
  <c r="O243" i="13" s="1"/>
  <c r="R243" i="13" s="1"/>
  <c r="S243" i="13" s="1"/>
  <c r="L244" i="13"/>
  <c r="O244" i="13" s="1"/>
  <c r="R244" i="13" s="1"/>
  <c r="S244" i="13" s="1"/>
  <c r="L245" i="13"/>
  <c r="O245" i="13" s="1"/>
  <c r="R245" i="13" s="1"/>
  <c r="S245" i="13" s="1"/>
  <c r="L246" i="13"/>
  <c r="O246" i="13" s="1"/>
  <c r="R246" i="13" s="1"/>
  <c r="S246" i="13" s="1"/>
  <c r="L247" i="13"/>
  <c r="O247" i="13" s="1"/>
  <c r="R247" i="13" s="1"/>
  <c r="S247" i="13" s="1"/>
  <c r="L248" i="13"/>
  <c r="O248" i="13" s="1"/>
  <c r="R248" i="13" s="1"/>
  <c r="S248" i="13" s="1"/>
  <c r="L249" i="13"/>
  <c r="O249" i="13" s="1"/>
  <c r="R249" i="13" s="1"/>
  <c r="S249" i="13" s="1"/>
  <c r="L250" i="13"/>
  <c r="O250" i="13" s="1"/>
  <c r="R250" i="13" s="1"/>
  <c r="S250" i="13" s="1"/>
  <c r="L251" i="13"/>
  <c r="O251" i="13" s="1"/>
  <c r="R251" i="13" s="1"/>
  <c r="S251" i="13" s="1"/>
  <c r="L252" i="13"/>
  <c r="O252" i="13" s="1"/>
  <c r="R252" i="13" s="1"/>
  <c r="S252" i="13" s="1"/>
  <c r="L253" i="13"/>
  <c r="O253" i="13" s="1"/>
  <c r="R253" i="13" s="1"/>
  <c r="S253" i="13" s="1"/>
  <c r="L254" i="13"/>
  <c r="O254" i="13" s="1"/>
  <c r="R254" i="13" s="1"/>
  <c r="S254" i="13" s="1"/>
  <c r="L255" i="13"/>
  <c r="O255" i="13" s="1"/>
  <c r="R255" i="13" s="1"/>
  <c r="S255" i="13" s="1"/>
  <c r="L256" i="13"/>
  <c r="O256" i="13" s="1"/>
  <c r="R256" i="13" s="1"/>
  <c r="S256" i="13" s="1"/>
  <c r="L257" i="13"/>
  <c r="O257" i="13" s="1"/>
  <c r="R257" i="13" s="1"/>
  <c r="S257" i="13" s="1"/>
  <c r="L258" i="13"/>
  <c r="O258" i="13" s="1"/>
  <c r="R258" i="13" s="1"/>
  <c r="S258" i="13" s="1"/>
  <c r="L259" i="13"/>
  <c r="O259" i="13" s="1"/>
  <c r="R259" i="13" s="1"/>
  <c r="S259" i="13" s="1"/>
  <c r="L260" i="13"/>
  <c r="O260" i="13" s="1"/>
  <c r="R260" i="13" s="1"/>
  <c r="S260" i="13" s="1"/>
  <c r="L261" i="13"/>
  <c r="O261" i="13" s="1"/>
  <c r="R261" i="13" s="1"/>
  <c r="S261" i="13" s="1"/>
  <c r="L262" i="13"/>
  <c r="O262" i="13" s="1"/>
  <c r="R262" i="13" s="1"/>
  <c r="S262" i="13" s="1"/>
  <c r="L263" i="13"/>
  <c r="O263" i="13" s="1"/>
  <c r="R263" i="13" s="1"/>
  <c r="S263" i="13" s="1"/>
  <c r="L264" i="13"/>
  <c r="O264" i="13" s="1"/>
  <c r="R264" i="13" s="1"/>
  <c r="S264" i="13" s="1"/>
  <c r="L265" i="13"/>
  <c r="O265" i="13" s="1"/>
  <c r="R265" i="13" s="1"/>
  <c r="S265" i="13" s="1"/>
  <c r="L266" i="13"/>
  <c r="O266" i="13" s="1"/>
  <c r="R266" i="13" s="1"/>
  <c r="S266" i="13" s="1"/>
  <c r="L267" i="13"/>
  <c r="O267" i="13" s="1"/>
  <c r="R267" i="13" s="1"/>
  <c r="S267" i="13" s="1"/>
  <c r="L268" i="13"/>
  <c r="O268" i="13" s="1"/>
  <c r="R268" i="13" s="1"/>
  <c r="S268" i="13" s="1"/>
  <c r="L269" i="13"/>
  <c r="O269" i="13" s="1"/>
  <c r="R269" i="13" s="1"/>
  <c r="S269" i="13" s="1"/>
  <c r="L270" i="13"/>
  <c r="L271" i="13"/>
  <c r="O271" i="13" s="1"/>
  <c r="R271" i="13" s="1"/>
  <c r="S271" i="13" s="1"/>
  <c r="L272" i="13"/>
  <c r="O272" i="13" s="1"/>
  <c r="R272" i="13" s="1"/>
  <c r="S272" i="13" s="1"/>
  <c r="L273" i="13"/>
  <c r="O273" i="13" s="1"/>
  <c r="R273" i="13" s="1"/>
  <c r="S273" i="13" s="1"/>
  <c r="L274" i="13"/>
  <c r="O274" i="13" s="1"/>
  <c r="R274" i="13" s="1"/>
  <c r="S274" i="13" s="1"/>
  <c r="L275" i="13"/>
  <c r="O275" i="13" s="1"/>
  <c r="R275" i="13" s="1"/>
  <c r="S275" i="13" s="1"/>
  <c r="L276" i="13"/>
  <c r="O276" i="13" s="1"/>
  <c r="R276" i="13" s="1"/>
  <c r="S276" i="13" s="1"/>
  <c r="L277" i="13"/>
  <c r="O277" i="13" s="1"/>
  <c r="R277" i="13" s="1"/>
  <c r="S277" i="13" s="1"/>
  <c r="L278" i="13"/>
  <c r="O278" i="13" s="1"/>
  <c r="R278" i="13" s="1"/>
  <c r="S278" i="13" s="1"/>
  <c r="L279" i="13"/>
  <c r="O279" i="13" s="1"/>
  <c r="R279" i="13" s="1"/>
  <c r="S279" i="13" s="1"/>
  <c r="L280" i="13"/>
  <c r="O280" i="13" s="1"/>
  <c r="R280" i="13" s="1"/>
  <c r="S280" i="13" s="1"/>
  <c r="L281" i="13"/>
  <c r="O281" i="13" s="1"/>
  <c r="R281" i="13" s="1"/>
  <c r="S281" i="13" s="1"/>
  <c r="L282" i="13"/>
  <c r="O282" i="13" s="1"/>
  <c r="R282" i="13" s="1"/>
  <c r="S282" i="13" s="1"/>
  <c r="L283" i="13"/>
  <c r="O283" i="13" s="1"/>
  <c r="R283" i="13" s="1"/>
  <c r="S283" i="13" s="1"/>
  <c r="L284" i="13"/>
  <c r="O284" i="13" s="1"/>
  <c r="R284" i="13" s="1"/>
  <c r="S284" i="13" s="1"/>
  <c r="L285" i="13"/>
  <c r="O285" i="13" s="1"/>
  <c r="R285" i="13" s="1"/>
  <c r="S285" i="13" s="1"/>
  <c r="L286" i="13"/>
  <c r="O286" i="13" s="1"/>
  <c r="R286" i="13" s="1"/>
  <c r="S286" i="13" s="1"/>
  <c r="L287" i="13"/>
  <c r="O287" i="13" s="1"/>
  <c r="R287" i="13" s="1"/>
  <c r="S287" i="13" s="1"/>
  <c r="L288" i="13"/>
  <c r="O288" i="13" s="1"/>
  <c r="R288" i="13" s="1"/>
  <c r="S288" i="13" s="1"/>
  <c r="L289" i="13"/>
  <c r="O289" i="13" s="1"/>
  <c r="R289" i="13" s="1"/>
  <c r="S289" i="13" s="1"/>
  <c r="L290" i="13"/>
  <c r="O290" i="13" s="1"/>
  <c r="R290" i="13" s="1"/>
  <c r="S290" i="13" s="1"/>
  <c r="L291" i="13"/>
  <c r="O291" i="13" s="1"/>
  <c r="R291" i="13" s="1"/>
  <c r="S291" i="13" s="1"/>
  <c r="L292" i="13"/>
  <c r="O292" i="13" s="1"/>
  <c r="R292" i="13" s="1"/>
  <c r="S292" i="13" s="1"/>
  <c r="L293" i="13"/>
  <c r="O293" i="13" s="1"/>
  <c r="R293" i="13" s="1"/>
  <c r="S293" i="13" s="1"/>
  <c r="L294" i="13"/>
  <c r="O294" i="13" s="1"/>
  <c r="R294" i="13" s="1"/>
  <c r="S294" i="13" s="1"/>
  <c r="L295" i="13"/>
  <c r="O295" i="13" s="1"/>
  <c r="R295" i="13" s="1"/>
  <c r="S295" i="13" s="1"/>
  <c r="L296" i="13"/>
  <c r="O296" i="13" s="1"/>
  <c r="R296" i="13" s="1"/>
  <c r="S296" i="13" s="1"/>
  <c r="L297" i="13"/>
  <c r="O297" i="13" s="1"/>
  <c r="R297" i="13" s="1"/>
  <c r="S297" i="13" s="1"/>
  <c r="L298" i="13"/>
  <c r="O298" i="13" s="1"/>
  <c r="R298" i="13" s="1"/>
  <c r="S298" i="13" s="1"/>
  <c r="L299" i="13"/>
  <c r="O299" i="13" s="1"/>
  <c r="R299" i="13" s="1"/>
  <c r="S299" i="13" s="1"/>
  <c r="L300" i="13"/>
  <c r="O300" i="13" s="1"/>
  <c r="R300" i="13" s="1"/>
  <c r="S300" i="13" s="1"/>
  <c r="L301" i="13"/>
  <c r="O301" i="13" s="1"/>
  <c r="R301" i="13" s="1"/>
  <c r="S301" i="13" s="1"/>
  <c r="L302" i="13"/>
  <c r="O302" i="13" s="1"/>
  <c r="R302" i="13" s="1"/>
  <c r="S302" i="13" s="1"/>
  <c r="L303" i="13"/>
  <c r="O303" i="13" s="1"/>
  <c r="R303" i="13" s="1"/>
  <c r="S303" i="13" s="1"/>
  <c r="L304" i="13"/>
  <c r="O304" i="13" s="1"/>
  <c r="R304" i="13" s="1"/>
  <c r="S304" i="13" s="1"/>
  <c r="L305" i="13"/>
  <c r="O305" i="13" s="1"/>
  <c r="R305" i="13" s="1"/>
  <c r="S305" i="13" s="1"/>
  <c r="L306" i="13"/>
  <c r="O306" i="13" s="1"/>
  <c r="R306" i="13" s="1"/>
  <c r="S306" i="13" s="1"/>
  <c r="L307" i="13"/>
  <c r="O307" i="13" s="1"/>
  <c r="R307" i="13" s="1"/>
  <c r="S307" i="13" s="1"/>
  <c r="L308" i="13"/>
  <c r="O308" i="13" s="1"/>
  <c r="R308" i="13" s="1"/>
  <c r="S308" i="13" s="1"/>
  <c r="L309" i="13"/>
  <c r="O309" i="13" s="1"/>
  <c r="R309" i="13" s="1"/>
  <c r="S309" i="13" s="1"/>
  <c r="L310" i="13"/>
  <c r="O310" i="13" s="1"/>
  <c r="R310" i="13" s="1"/>
  <c r="S310" i="13" s="1"/>
  <c r="L311" i="13"/>
  <c r="O311" i="13" s="1"/>
  <c r="R311" i="13" s="1"/>
  <c r="S311" i="13" s="1"/>
  <c r="L312" i="13"/>
  <c r="O312" i="13" s="1"/>
  <c r="R312" i="13" s="1"/>
  <c r="S312" i="13" s="1"/>
  <c r="L313" i="13"/>
  <c r="O313" i="13" s="1"/>
  <c r="R313" i="13" s="1"/>
  <c r="S313" i="13" s="1"/>
  <c r="O270" i="13"/>
  <c r="R270" i="13" s="1"/>
  <c r="S270" i="13" s="1"/>
  <c r="L314" i="13"/>
  <c r="O314" i="13" s="1"/>
  <c r="R314" i="13" s="1"/>
  <c r="S314" i="13" s="1"/>
  <c r="L315" i="13"/>
  <c r="O315" i="13" s="1"/>
  <c r="R315" i="13" s="1"/>
  <c r="S315" i="13" s="1"/>
  <c r="L316" i="13"/>
  <c r="O316" i="13" s="1"/>
  <c r="R316" i="13" s="1"/>
  <c r="S316" i="13" s="1"/>
  <c r="L317" i="13"/>
  <c r="O317" i="13" s="1"/>
  <c r="R317" i="13" s="1"/>
  <c r="S317" i="13" s="1"/>
  <c r="L318" i="13"/>
  <c r="O318" i="13" s="1"/>
  <c r="R318" i="13" s="1"/>
  <c r="S318" i="13" s="1"/>
  <c r="L319" i="13"/>
  <c r="O319" i="13" s="1"/>
  <c r="R319" i="13" s="1"/>
  <c r="S319" i="13" s="1"/>
  <c r="L320" i="13"/>
  <c r="O320" i="13" s="1"/>
  <c r="R320" i="13" s="1"/>
  <c r="S320" i="13" s="1"/>
  <c r="L321" i="13"/>
  <c r="O321" i="13" s="1"/>
  <c r="R321" i="13" s="1"/>
  <c r="S321" i="13" s="1"/>
  <c r="L322" i="13"/>
  <c r="O322" i="13" s="1"/>
  <c r="R322" i="13" s="1"/>
  <c r="S322" i="13" s="1"/>
  <c r="L323" i="13"/>
  <c r="O323" i="13" s="1"/>
  <c r="R323" i="13" s="1"/>
  <c r="S323" i="13" s="1"/>
  <c r="L324" i="13"/>
  <c r="O324" i="13" s="1"/>
  <c r="R324" i="13" s="1"/>
  <c r="S324" i="13" s="1"/>
  <c r="L325" i="13"/>
  <c r="O325" i="13" s="1"/>
  <c r="R325" i="13" s="1"/>
  <c r="S325" i="13" s="1"/>
  <c r="L326" i="13"/>
  <c r="O326" i="13" s="1"/>
  <c r="R326" i="13" s="1"/>
  <c r="S326" i="13" s="1"/>
  <c r="L327" i="13"/>
  <c r="O327" i="13" s="1"/>
  <c r="R327" i="13" s="1"/>
  <c r="S327" i="13" s="1"/>
  <c r="L328" i="13"/>
  <c r="O328" i="13" s="1"/>
  <c r="R328" i="13" s="1"/>
  <c r="S328" i="13" s="1"/>
  <c r="L329" i="13"/>
  <c r="O329" i="13" s="1"/>
  <c r="R329" i="13" s="1"/>
  <c r="S329" i="13" s="1"/>
  <c r="L330" i="13"/>
  <c r="O330" i="13" s="1"/>
  <c r="R330" i="13" s="1"/>
  <c r="S330" i="13" s="1"/>
  <c r="L331" i="13"/>
  <c r="O331" i="13" s="1"/>
  <c r="R331" i="13" s="1"/>
  <c r="S331" i="13" s="1"/>
  <c r="L332" i="13"/>
  <c r="O332" i="13" s="1"/>
  <c r="R332" i="13" s="1"/>
  <c r="S332" i="13" s="1"/>
  <c r="L333" i="13"/>
  <c r="O333" i="13" s="1"/>
  <c r="R333" i="13" s="1"/>
  <c r="S333" i="13" s="1"/>
  <c r="L334" i="13"/>
  <c r="O334" i="13" s="1"/>
  <c r="R334" i="13" s="1"/>
  <c r="S334" i="13" s="1"/>
  <c r="L335" i="13"/>
  <c r="O335" i="13" s="1"/>
  <c r="R335" i="13" s="1"/>
  <c r="S335" i="13" s="1"/>
  <c r="L336" i="13"/>
  <c r="O336" i="13" s="1"/>
  <c r="R336" i="13" s="1"/>
  <c r="S336" i="13" s="1"/>
  <c r="L337" i="13"/>
  <c r="O337" i="13" s="1"/>
  <c r="R337" i="13" s="1"/>
  <c r="S337" i="13" s="1"/>
  <c r="L338" i="13"/>
  <c r="O338" i="13" s="1"/>
  <c r="R338" i="13" s="1"/>
  <c r="S338" i="13" s="1"/>
  <c r="L339" i="13"/>
  <c r="O339" i="13" s="1"/>
  <c r="R339" i="13" s="1"/>
  <c r="S339" i="13" s="1"/>
  <c r="L340" i="13"/>
  <c r="O340" i="13" s="1"/>
  <c r="R340" i="13" s="1"/>
  <c r="S340" i="13" s="1"/>
  <c r="L341" i="13"/>
  <c r="O341" i="13" s="1"/>
  <c r="R341" i="13" s="1"/>
  <c r="S341" i="13" s="1"/>
  <c r="L342" i="13"/>
  <c r="O342" i="13" s="1"/>
  <c r="R342" i="13" s="1"/>
  <c r="S342" i="13" s="1"/>
  <c r="L343" i="13"/>
  <c r="O343" i="13" s="1"/>
  <c r="R343" i="13" s="1"/>
  <c r="S343" i="13" s="1"/>
  <c r="L344" i="13"/>
  <c r="O344" i="13" s="1"/>
  <c r="R344" i="13" s="1"/>
  <c r="S344" i="13" s="1"/>
  <c r="L345" i="13"/>
  <c r="O345" i="13" s="1"/>
  <c r="R345" i="13" s="1"/>
  <c r="S345" i="13" s="1"/>
  <c r="L346" i="13"/>
  <c r="O346" i="13" s="1"/>
  <c r="R346" i="13" s="1"/>
  <c r="S346" i="13" s="1"/>
  <c r="L347" i="13"/>
  <c r="O347" i="13" s="1"/>
  <c r="R347" i="13" s="1"/>
  <c r="S347" i="13" s="1"/>
  <c r="L348" i="13"/>
  <c r="O348" i="13" s="1"/>
  <c r="R348" i="13" s="1"/>
  <c r="S348" i="13" s="1"/>
  <c r="L349" i="13"/>
  <c r="O349" i="13" s="1"/>
  <c r="R349" i="13" s="1"/>
  <c r="S349" i="13" s="1"/>
  <c r="L350" i="13"/>
  <c r="O350" i="13" s="1"/>
  <c r="R350" i="13" s="1"/>
  <c r="S350" i="13" s="1"/>
  <c r="L351" i="13"/>
  <c r="O351" i="13" s="1"/>
  <c r="R351" i="13" s="1"/>
  <c r="S351" i="13" s="1"/>
  <c r="L352" i="13"/>
  <c r="O352" i="13" s="1"/>
  <c r="R352" i="13" s="1"/>
  <c r="S352" i="13" s="1"/>
  <c r="L353" i="13"/>
  <c r="O353" i="13" s="1"/>
  <c r="R353" i="13" s="1"/>
  <c r="S353" i="13" s="1"/>
  <c r="L354" i="13"/>
  <c r="O354" i="13" s="1"/>
  <c r="R354" i="13" s="1"/>
  <c r="S354" i="13" s="1"/>
  <c r="L355" i="13"/>
  <c r="O355" i="13" s="1"/>
  <c r="R355" i="13" s="1"/>
  <c r="S355" i="13" s="1"/>
  <c r="L356" i="13"/>
  <c r="O356" i="13" s="1"/>
  <c r="R356" i="13" s="1"/>
  <c r="S356" i="13" s="1"/>
  <c r="L357" i="13"/>
  <c r="O357" i="13" s="1"/>
  <c r="R357" i="13" s="1"/>
  <c r="S357" i="13" s="1"/>
  <c r="L358" i="13"/>
  <c r="O358" i="13" s="1"/>
  <c r="R358" i="13" s="1"/>
  <c r="S358" i="13" s="1"/>
  <c r="L359" i="13"/>
  <c r="O359" i="13" s="1"/>
  <c r="R359" i="13" s="1"/>
  <c r="S359" i="13" s="1"/>
  <c r="L360" i="13"/>
  <c r="O360" i="13" s="1"/>
  <c r="R360" i="13" s="1"/>
  <c r="S360" i="13" s="1"/>
  <c r="L361" i="13"/>
  <c r="O361" i="13" s="1"/>
  <c r="R361" i="13" s="1"/>
  <c r="S361" i="13" s="1"/>
  <c r="L362" i="13"/>
  <c r="O362" i="13" s="1"/>
  <c r="R362" i="13" s="1"/>
  <c r="S362" i="13" s="1"/>
  <c r="L363" i="13"/>
  <c r="O363" i="13" s="1"/>
  <c r="R363" i="13" s="1"/>
  <c r="S363" i="13" s="1"/>
  <c r="L364" i="13"/>
  <c r="O364" i="13" s="1"/>
  <c r="R364" i="13" s="1"/>
  <c r="S364" i="13" s="1"/>
  <c r="L365" i="13"/>
  <c r="O365" i="13" s="1"/>
  <c r="R365" i="13" s="1"/>
  <c r="S365" i="13" s="1"/>
  <c r="L366" i="13"/>
  <c r="O366" i="13" s="1"/>
  <c r="R366" i="13" s="1"/>
  <c r="S366" i="13" s="1"/>
  <c r="L367" i="13"/>
  <c r="O367" i="13" s="1"/>
  <c r="R367" i="13" s="1"/>
  <c r="S367" i="13" s="1"/>
  <c r="L368" i="13"/>
  <c r="O368" i="13" s="1"/>
  <c r="R368" i="13" s="1"/>
  <c r="S368" i="13" s="1"/>
  <c r="L369" i="13"/>
  <c r="O369" i="13" s="1"/>
  <c r="R369" i="13" s="1"/>
  <c r="S369" i="13" s="1"/>
  <c r="L370" i="13"/>
  <c r="O370" i="13" s="1"/>
  <c r="R370" i="13" s="1"/>
  <c r="S370" i="13" s="1"/>
  <c r="L371" i="13"/>
  <c r="O371" i="13" s="1"/>
  <c r="R371" i="13" s="1"/>
  <c r="S371" i="13" s="1"/>
  <c r="L372" i="13"/>
  <c r="O372" i="13" s="1"/>
  <c r="R372" i="13" s="1"/>
  <c r="S372" i="13" s="1"/>
  <c r="L373" i="13"/>
  <c r="O373" i="13" s="1"/>
  <c r="R373" i="13" s="1"/>
  <c r="S373" i="13" s="1"/>
  <c r="L374" i="13"/>
  <c r="O374" i="13" s="1"/>
  <c r="R374" i="13" s="1"/>
  <c r="S374" i="13" s="1"/>
  <c r="L375" i="13"/>
  <c r="O375" i="13" s="1"/>
  <c r="R375" i="13" s="1"/>
  <c r="S375" i="13" s="1"/>
  <c r="L376" i="13"/>
  <c r="O376" i="13" s="1"/>
  <c r="R376" i="13" s="1"/>
  <c r="S376" i="13" s="1"/>
  <c r="L377" i="13"/>
  <c r="O377" i="13" s="1"/>
  <c r="R377" i="13" s="1"/>
  <c r="S377" i="13" s="1"/>
  <c r="L378" i="13"/>
  <c r="O378" i="13" s="1"/>
  <c r="R378" i="13" s="1"/>
  <c r="S378" i="13" s="1"/>
  <c r="L379" i="13"/>
  <c r="O379" i="13" s="1"/>
  <c r="R379" i="13" s="1"/>
  <c r="S379" i="13" s="1"/>
  <c r="L381" i="13"/>
  <c r="O381" i="13" s="1"/>
  <c r="R381" i="13" s="1"/>
  <c r="S381" i="13" s="1"/>
  <c r="L382" i="13"/>
  <c r="O382" i="13" s="1"/>
  <c r="R382" i="13" s="1"/>
  <c r="S382" i="13" s="1"/>
  <c r="D10" i="19" l="1"/>
  <c r="D18" i="19"/>
  <c r="A32" i="19"/>
  <c r="A24" i="19"/>
  <c r="A16" i="19"/>
  <c r="A8" i="19"/>
  <c r="L383" i="13"/>
  <c r="O383" i="13" s="1"/>
  <c r="R383" i="13" s="1"/>
  <c r="S383" i="13" s="1"/>
  <c r="L384" i="13"/>
  <c r="O384" i="13" s="1"/>
  <c r="R384" i="13" s="1"/>
  <c r="S384" i="13" s="1"/>
  <c r="L385" i="13"/>
  <c r="O385" i="13" s="1"/>
  <c r="R385" i="13" s="1"/>
  <c r="S385" i="13" s="1"/>
  <c r="L386" i="13"/>
  <c r="O386" i="13" s="1"/>
  <c r="R386" i="13" s="1"/>
  <c r="S386" i="13" s="1"/>
  <c r="L387" i="13"/>
  <c r="O387" i="13" s="1"/>
  <c r="R387" i="13" s="1"/>
  <c r="S387" i="13" s="1"/>
  <c r="L388" i="13"/>
  <c r="O388" i="13" s="1"/>
  <c r="R388" i="13" s="1"/>
  <c r="S388" i="13" s="1"/>
  <c r="L389" i="13"/>
  <c r="O389" i="13" s="1"/>
  <c r="R389" i="13" s="1"/>
  <c r="S389" i="13" s="1"/>
  <c r="L390" i="13"/>
  <c r="O390" i="13" s="1"/>
  <c r="R390" i="13" s="1"/>
  <c r="S390" i="13" s="1"/>
  <c r="L391" i="13"/>
  <c r="O391" i="13" s="1"/>
  <c r="R391" i="13" s="1"/>
  <c r="S391" i="13" s="1"/>
  <c r="L393" i="13"/>
  <c r="O393" i="13" s="1"/>
  <c r="R393" i="13" s="1"/>
  <c r="S393" i="13" s="1"/>
  <c r="L395" i="13"/>
  <c r="O395" i="13" s="1"/>
  <c r="R395" i="13" s="1"/>
  <c r="S395" i="13" s="1"/>
  <c r="L396" i="13"/>
  <c r="O396" i="13" s="1"/>
  <c r="R396" i="13" s="1"/>
  <c r="S396" i="13" s="1"/>
  <c r="L397" i="13"/>
  <c r="O397" i="13" s="1"/>
  <c r="R397" i="13" s="1"/>
  <c r="S397" i="13" s="1"/>
  <c r="L398" i="13"/>
  <c r="O398" i="13" s="1"/>
  <c r="R398" i="13" s="1"/>
  <c r="S398" i="13" s="1"/>
  <c r="L399" i="13"/>
  <c r="O399" i="13" s="1"/>
  <c r="R399" i="13" s="1"/>
  <c r="S399" i="13" s="1"/>
  <c r="L400" i="13"/>
  <c r="O400" i="13" s="1"/>
  <c r="R400" i="13" s="1"/>
  <c r="S400" i="13" s="1"/>
  <c r="L401" i="13"/>
  <c r="O401" i="13" s="1"/>
  <c r="R401" i="13" s="1"/>
  <c r="S401" i="13" s="1"/>
  <c r="U4" i="13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<sst xmlns="http://schemas.openxmlformats.org/spreadsheetml/2006/main" count="746" uniqueCount="110">
  <si>
    <t>DK Company Vejle A/S
Edisonvej 4
7100 Vejle
Denmark</t>
  </si>
  <si>
    <t>ORDER NO:</t>
  </si>
  <si>
    <t>TOTAL QTY:</t>
  </si>
  <si>
    <t>STYLE NO:</t>
  </si>
  <si>
    <t>SKU SIZE:</t>
  </si>
  <si>
    <t>COLOUR NO:</t>
  </si>
  <si>
    <t>LENGTH:</t>
  </si>
  <si>
    <t>ASSORT NO:</t>
  </si>
  <si>
    <t>BOX NO:</t>
  </si>
  <si>
    <t>SKU EAN:</t>
  </si>
  <si>
    <t>BOX COUNT:</t>
  </si>
  <si>
    <t>PO No</t>
  </si>
  <si>
    <t>Style no</t>
  </si>
  <si>
    <t>Colour</t>
  </si>
  <si>
    <t>Size</t>
  </si>
  <si>
    <t>Length</t>
  </si>
  <si>
    <t>EAN</t>
  </si>
  <si>
    <t>Quantity</t>
  </si>
  <si>
    <t>Ass No</t>
  </si>
  <si>
    <t>Column1</t>
  </si>
  <si>
    <t>Assortment</t>
  </si>
  <si>
    <t>Carton Qty (2)</t>
  </si>
  <si>
    <t>Carton Qty (1)</t>
  </si>
  <si>
    <t>Qty/Carton (1)</t>
  </si>
  <si>
    <t>Left Quantity (1)</t>
  </si>
  <si>
    <t>Qty/Carton (2)</t>
  </si>
  <si>
    <t>Left Quantity (2)</t>
  </si>
  <si>
    <t>Carton Qty (3)</t>
  </si>
  <si>
    <t>Qty/Carton (3)</t>
  </si>
  <si>
    <t>Left Quantity (3)</t>
  </si>
  <si>
    <t>*EAN/totalQTY/PO*</t>
  </si>
  <si>
    <t>DKC Vejle</t>
  </si>
  <si>
    <t>DKC Ikast</t>
  </si>
  <si>
    <t>DKC CPH</t>
  </si>
  <si>
    <t>DK Company Cph A/S
Kanonbådsvej 10
1437 København K
Denmark</t>
  </si>
  <si>
    <t>Choose Company</t>
  </si>
  <si>
    <t>DK Company A/S
La Cours Vej 6
7430 Ikast
Denmark</t>
  </si>
  <si>
    <t>PO NO:</t>
  </si>
  <si>
    <t>FK-888888</t>
  </si>
  <si>
    <t>STYLE:</t>
  </si>
  <si>
    <t>SIZE</t>
  </si>
  <si>
    <t>LENGTH</t>
  </si>
  <si>
    <t>COLOUR</t>
  </si>
  <si>
    <t>SKU</t>
  </si>
  <si>
    <t>QTY</t>
  </si>
  <si>
    <t>BARCODE</t>
  </si>
  <si>
    <t>ONE SIZE</t>
  </si>
  <si>
    <t>No</t>
  </si>
  <si>
    <t>NA</t>
  </si>
  <si>
    <t>CU-244767</t>
  </si>
  <si>
    <t>50109763</t>
  </si>
  <si>
    <t>S/M</t>
  </si>
  <si>
    <t>5715576671756</t>
  </si>
  <si>
    <t>M/L</t>
  </si>
  <si>
    <t>L/XL</t>
  </si>
  <si>
    <t>5715576671749</t>
  </si>
  <si>
    <t>5715299098687</t>
  </si>
  <si>
    <t>5715299098670</t>
  </si>
  <si>
    <t>5715299098663</t>
  </si>
  <si>
    <t>*5715576671756/16/CU-244767*</t>
  </si>
  <si>
    <t>*5715576671749/16/CU-244767*</t>
  </si>
  <si>
    <t>*5715576671756/13/CU-244767*</t>
  </si>
  <si>
    <t>*5715299098687/17/CU-244767*</t>
  </si>
  <si>
    <t>*5715299098687/16/CU-244767*</t>
  </si>
  <si>
    <t>*5715299098670/16/CU-244767*</t>
  </si>
  <si>
    <t>*5715299098663/16/CU-244767*</t>
  </si>
  <si>
    <t>海阳市方瑞制衣--装箱单</t>
  </si>
  <si>
    <t>客人编号：</t>
  </si>
  <si>
    <t>订单号：</t>
  </si>
  <si>
    <t>日期：</t>
  </si>
  <si>
    <t>2025/5/9</t>
  </si>
  <si>
    <t>箱号</t>
  </si>
  <si>
    <t>颜色</t>
  </si>
  <si>
    <t>配比包数</t>
  </si>
  <si>
    <t xml:space="preserve">件数/箱 </t>
  </si>
  <si>
    <t>箱数</t>
  </si>
  <si>
    <t>条形码</t>
  </si>
  <si>
    <t>配比号</t>
  </si>
  <si>
    <t>总件数</t>
  </si>
  <si>
    <t>净重</t>
  </si>
  <si>
    <t>毛重</t>
  </si>
  <si>
    <t>总重量</t>
  </si>
  <si>
    <t>箱规(CM)</t>
  </si>
  <si>
    <t>总体积</t>
  </si>
  <si>
    <t>kg</t>
  </si>
  <si>
    <t>长</t>
  </si>
  <si>
    <t>宽</t>
  </si>
  <si>
    <t>高</t>
  </si>
  <si>
    <t>M3</t>
  </si>
  <si>
    <t>1-6</t>
  </si>
  <si>
    <t>108580巧克力棕/牡蛎灰</t>
  </si>
  <si>
    <t>7-13</t>
  </si>
  <si>
    <t>14-17</t>
  </si>
  <si>
    <t>18</t>
  </si>
  <si>
    <t>19</t>
  </si>
  <si>
    <t>20-21</t>
  </si>
  <si>
    <t>500122黑色</t>
  </si>
  <si>
    <t>22</t>
  </si>
  <si>
    <t>23-26</t>
  </si>
  <si>
    <t>27-31</t>
  </si>
  <si>
    <t>32</t>
  </si>
  <si>
    <t>合计</t>
  </si>
  <si>
    <t>总箱数</t>
  </si>
  <si>
    <t>5+6</t>
  </si>
  <si>
    <t>6+10</t>
  </si>
  <si>
    <t>*5715299098687/5+6/CU-244767*</t>
  </si>
  <si>
    <t>*5715299098663/6+10/CU-244767*</t>
  </si>
  <si>
    <t>M/L_L/XL</t>
  </si>
  <si>
    <t>5_10</t>
  </si>
  <si>
    <t>6_10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</si>
</sst>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39"/>
      <color theme="1"/>
      <name val="Free 3 of 9"/>
      <family val="3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Free 3 of 9"/>
      <family val="3"/>
    </font>
    <font>
      <sz val="16"/>
      <color theme="1"/>
      <name val="Free 3 of 9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indexed="8"/>
      <name val="宋体"/>
      <charset val="134"/>
    </font>
    <font>
      <sz val="14"/>
      <color indexed="8"/>
      <name val="宋体"/>
      <charset val="134"/>
    </font>
    <font>
      <sz val="12"/>
      <color indexed="8"/>
      <name val="宋体"/>
      <charset val="134"/>
    </font>
    <font>
      <sz val="11"/>
      <color indexed="8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2" fillId="0" borderId="0">
      <alignment vertical="center"/>
    </xf>
  </cellStyleXfs>
  <cellXfs count="11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0" fontId="0" fillId="2" borderId="0" xfId="0" applyFill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1" fillId="0" borderId="1" xfId="0" applyFont="1" applyBorder="1"/>
    <xf numFmtId="0" fontId="1" fillId="0" borderId="6" xfId="0" applyFont="1" applyBorder="1"/>
    <xf numFmtId="0" fontId="4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1" fillId="0" borderId="5" xfId="0" applyFont="1" applyBorder="1" applyAlignment="1">
      <alignment vertical="center"/>
    </xf>
    <xf numFmtId="0" fontId="1" fillId="0" borderId="8" xfId="0" applyFont="1" applyBorder="1"/>
    <xf numFmtId="0" fontId="2" fillId="0" borderId="2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left" vertical="center"/>
    </xf>
    <xf numFmtId="1" fontId="1" fillId="0" borderId="0" xfId="0" applyNumberFormat="1" applyFont="1" applyAlignment="1">
      <alignment horizontal="left" vertical="center"/>
    </xf>
    <xf numFmtId="0" fontId="1" fillId="0" borderId="0" xfId="0" applyFont="1" applyAlignment="1" applyProtection="1">
      <alignment horizontal="left" vertical="center"/>
      <protection locked="0"/>
    </xf>
    <xf numFmtId="1" fontId="1" fillId="0" borderId="0" xfId="0" applyNumberFormat="1" applyFont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left" vertical="center"/>
      <protection locked="0"/>
    </xf>
    <xf numFmtId="0" fontId="4" fillId="0" borderId="9" xfId="0" applyFont="1" applyBorder="1" applyAlignment="1">
      <alignment vertical="center" wrapText="1"/>
    </xf>
    <xf numFmtId="0" fontId="7" fillId="0" borderId="10" xfId="0" applyFont="1" applyBorder="1"/>
    <xf numFmtId="0" fontId="7" fillId="0" borderId="11" xfId="0" applyFont="1" applyBorder="1" applyProtection="1">
      <protection locked="0"/>
    </xf>
    <xf numFmtId="0" fontId="4" fillId="0" borderId="5" xfId="0" quotePrefix="1" applyFont="1" applyBorder="1" applyAlignment="1">
      <alignment vertical="center" wrapText="1"/>
    </xf>
    <xf numFmtId="0" fontId="1" fillId="0" borderId="12" xfId="0" applyFont="1" applyBorder="1"/>
    <xf numFmtId="0" fontId="1" fillId="0" borderId="13" xfId="0" applyFont="1" applyBorder="1"/>
    <xf numFmtId="0" fontId="1" fillId="0" borderId="2" xfId="0" applyFont="1" applyBorder="1"/>
    <xf numFmtId="0" fontId="1" fillId="0" borderId="3" xfId="0" applyFont="1" applyBorder="1"/>
    <xf numFmtId="0" fontId="2" fillId="0" borderId="9" xfId="0" applyFont="1" applyBorder="1"/>
    <xf numFmtId="0" fontId="8" fillId="0" borderId="9" xfId="0" applyFont="1" applyBorder="1"/>
    <xf numFmtId="0" fontId="9" fillId="0" borderId="9" xfId="0" applyFont="1" applyBorder="1"/>
    <xf numFmtId="0" fontId="9" fillId="0" borderId="9" xfId="0" applyFont="1" applyBorder="1" applyAlignment="1">
      <alignment horizontal="right"/>
    </xf>
    <xf numFmtId="1" fontId="9" fillId="0" borderId="9" xfId="0" applyNumberFormat="1" applyFont="1" applyBorder="1"/>
    <xf numFmtId="1" fontId="10" fillId="0" borderId="0" xfId="0" applyNumberFormat="1" applyFont="1" applyAlignment="1">
      <alignment horizontal="center" vertical="center"/>
    </xf>
    <xf numFmtId="0" fontId="1" fillId="0" borderId="14" xfId="0" applyFont="1" applyBorder="1"/>
    <xf numFmtId="0" fontId="1" fillId="0" borderId="4" xfId="0" applyFont="1" applyBorder="1" applyAlignment="1">
      <alignment horizontal="right"/>
    </xf>
    <xf numFmtId="0" fontId="1" fillId="0" borderId="4" xfId="0" applyFont="1" applyBorder="1"/>
    <xf numFmtId="1" fontId="1" fillId="0" borderId="4" xfId="0" applyNumberFormat="1" applyFont="1" applyBorder="1"/>
    <xf numFmtId="0" fontId="1" fillId="0" borderId="4" xfId="0" applyFont="1" applyBorder="1" applyAlignment="1">
      <alignment wrapText="1"/>
    </xf>
    <xf numFmtId="1" fontId="11" fillId="0" borderId="4" xfId="0" applyNumberFormat="1" applyFont="1" applyBorder="1" applyAlignment="1">
      <alignment horizontal="center" vertical="center"/>
    </xf>
    <xf numFmtId="0" fontId="1" fillId="0" borderId="15" xfId="0" applyFont="1" applyBorder="1"/>
    <xf numFmtId="0" fontId="1" fillId="0" borderId="0" xfId="0" applyFont="1"/>
    <xf numFmtId="0" fontId="9" fillId="0" borderId="9" xfId="0" applyFont="1" applyBorder="1"/>
    <xf numFmtId="0" fontId="13" fillId="0" borderId="16" xfId="0" applyFont="1" applyBorder="1"/>
    <xf numFmtId="0" fontId="12" fillId="0" borderId="0" xfId="1">
      <alignment vertical="center"/>
    </xf>
    <xf numFmtId="0" fontId="15" fillId="0" borderId="17" xfId="1" applyFont="1" applyBorder="1">
      <alignment vertical="center"/>
    </xf>
    <xf numFmtId="49" fontId="15" fillId="0" borderId="17" xfId="1" applyNumberFormat="1" applyFont="1" applyBorder="1">
      <alignment vertical="center"/>
    </xf>
    <xf numFmtId="49" fontId="17" fillId="0" borderId="17" xfId="1" applyNumberFormat="1" applyFont="1" applyBorder="1" applyAlignment="1">
      <alignment horizontal="right" vertical="center"/>
    </xf>
    <xf numFmtId="49" fontId="12" fillId="0" borderId="9" xfId="1" applyNumberFormat="1" applyBorder="1" applyAlignment="1">
      <alignment horizontal="center" vertical="center"/>
    </xf>
    <xf numFmtId="0" fontId="12" fillId="0" borderId="9" xfId="1" applyBorder="1" applyAlignment="1">
      <alignment horizontal="center" vertical="center"/>
    </xf>
    <xf numFmtId="0" fontId="0" fillId="0" borderId="9" xfId="1" applyFont="1" applyBorder="1" applyAlignment="1">
      <alignment horizontal="center" vertical="center"/>
    </xf>
    <xf numFmtId="49" fontId="16" fillId="0" borderId="9" xfId="1" applyNumberFormat="1" applyFont="1" applyBorder="1" applyAlignment="1">
      <alignment horizontal="center" vertical="center"/>
    </xf>
    <xf numFmtId="0" fontId="16" fillId="0" borderId="9" xfId="1" applyFont="1" applyBorder="1" applyAlignment="1">
      <alignment horizontal="center" vertical="center"/>
    </xf>
    <xf numFmtId="0" fontId="16" fillId="0" borderId="9" xfId="1" applyFont="1" applyBorder="1" applyAlignment="1">
      <alignment horizontal="right" vertical="center"/>
    </xf>
    <xf numFmtId="0" fontId="12" fillId="0" borderId="9" xfId="1" applyBorder="1" applyAlignment="1">
      <alignment horizontal="right" vertical="center"/>
    </xf>
    <xf numFmtId="49" fontId="12" fillId="3" borderId="0" xfId="1" applyNumberFormat="1" applyFill="1" applyAlignment="1"/>
    <xf numFmtId="0" fontId="12" fillId="0" borderId="0" xfId="1" applyAlignment="1">
      <alignment wrapText="1"/>
    </xf>
    <xf numFmtId="49" fontId="12" fillId="0" borderId="9" xfId="1" applyNumberFormat="1" applyBorder="1" applyAlignment="1">
      <alignment horizontal="right" vertical="center"/>
    </xf>
    <xf numFmtId="49" fontId="16" fillId="0" borderId="9" xfId="1" applyNumberFormat="1" applyFont="1" applyBorder="1" applyAlignment="1">
      <alignment horizontal="right" vertical="center"/>
    </xf>
    <xf numFmtId="49" fontId="12" fillId="0" borderId="0" xfId="1" applyNumberFormat="1">
      <alignment vertical="center"/>
    </xf>
    <xf numFmtId="0" fontId="12" fillId="0" borderId="0" xfId="1" applyAlignment="1">
      <alignment horizontal="center" vertical="center"/>
    </xf>
    <xf numFmtId="49" fontId="12" fillId="0" borderId="0" xfId="1" applyNumberFormat="1" applyAlignment="1">
      <alignment horizontal="right" vertical="center"/>
    </xf>
    <xf numFmtId="49" fontId="0" fillId="0" borderId="0" xfId="1" applyNumberFormat="1" applyFont="1">
      <alignment vertical="center"/>
    </xf>
    <xf numFmtId="0" fontId="0" fillId="2" borderId="0" xfId="0" applyNumberFormat="1" applyFill="1"/>
    <xf numFmtId="1" fontId="0" fillId="0" borderId="0" xfId="0" applyNumberFormat="1"/>
    <xf numFmtId="0" fontId="1" fillId="0" borderId="0" xfId="0" applyFont="1"/>
    <xf numFmtId="0" fontId="14" fillId="0" borderId="0" xfId="1" applyFont="1" applyAlignment="1">
      <alignment horizontal="center" vertical="center"/>
    </xf>
    <xf numFmtId="0" fontId="12" fillId="0" borderId="0" xfId="1">
      <alignment vertical="center"/>
    </xf>
    <xf numFmtId="49" fontId="15" fillId="0" borderId="17" xfId="1" applyNumberFormat="1" applyFont="1" applyBorder="1" applyAlignment="1">
      <alignment horizontal="right" vertical="center"/>
    </xf>
    <xf numFmtId="0" fontId="0" fillId="0" borderId="17" xfId="0" applyBorder="1"/>
    <xf numFmtId="49" fontId="15" fillId="0" borderId="17" xfId="1" applyNumberFormat="1" applyFont="1" applyBorder="1" applyAlignment="1">
      <alignment horizontal="left" vertical="center"/>
    </xf>
    <xf numFmtId="49" fontId="15" fillId="0" borderId="17" xfId="1" applyNumberFormat="1" applyFont="1" applyBorder="1" applyAlignment="1">
      <alignment horizontal="center" vertical="center"/>
    </xf>
    <xf numFmtId="49" fontId="16" fillId="0" borderId="17" xfId="1" applyNumberFormat="1" applyFont="1" applyBorder="1" applyAlignment="1">
      <alignment horizontal="left" vertical="center"/>
    </xf>
    <xf numFmtId="49" fontId="17" fillId="0" borderId="17" xfId="1" applyNumberFormat="1" applyFont="1" applyBorder="1" applyAlignment="1">
      <alignment horizontal="left" vertical="center"/>
    </xf>
    <xf numFmtId="49" fontId="12" fillId="0" borderId="9" xfId="1" applyNumberFormat="1" applyBorder="1" applyAlignment="1">
      <alignment horizontal="center" vertical="center"/>
    </xf>
    <xf numFmtId="0" fontId="0" fillId="0" borderId="19" xfId="0" applyBorder="1"/>
    <xf numFmtId="0" fontId="12" fillId="0" borderId="9" xfId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49" fontId="17" fillId="0" borderId="9" xfId="1" applyNumberFormat="1" applyFont="1" applyBorder="1" applyAlignment="1">
      <alignment horizontal="center" vertical="center"/>
    </xf>
    <xf numFmtId="49" fontId="12" fillId="0" borderId="0" xfId="1" applyNumberFormat="1" applyAlignment="1">
      <alignment horizontal="left" vertical="center"/>
    </xf>
    <xf numFmtId="0" fontId="0" fillId="0" borderId="0" xfId="1" applyFont="1" applyAlignment="1">
      <alignment horizontal="right" vertical="center"/>
    </xf>
    <xf numFmtId="49" fontId="12" fillId="0" borderId="9" xfId="1" applyNumberFormat="1" applyBorder="1" applyAlignment="1">
      <alignment horizontal="center" vertical="center" wrapText="1"/>
    </xf>
    <xf numFmtId="0" fontId="12" fillId="0" borderId="9" xfId="1" applyBorder="1" applyAlignment="1">
      <alignment horizontal="center" vertical="center" wrapText="1"/>
    </xf>
    <xf numFmtId="0" fontId="0" fillId="0" borderId="9" xfId="1" applyFont="1" applyBorder="1" applyAlignment="1">
      <alignment horizontal="center" vertical="center" wrapText="1"/>
    </xf>
    <xf numFmtId="0" fontId="0" fillId="0" borderId="9" xfId="1" applyFont="1" applyBorder="1" applyAlignment="1">
      <alignment horizontal="center" vertical="center"/>
    </xf>
    <xf numFmtId="0" fontId="0" fillId="0" borderId="18" xfId="0" applyBorder="1"/>
    <xf numFmtId="0" fontId="0" fillId="0" borderId="11" xfId="0" applyBorder="1"/>
    <xf numFmtId="49" fontId="0" fillId="0" borderId="0" xfId="1" applyNumberFormat="1" applyFont="1" applyAlignment="1">
      <alignment horizontal="right" vertical="center"/>
    </xf>
    <xf numFmtId="0" fontId="12" fillId="3" borderId="9" xfId="1" applyFill="1" applyBorder="1" applyAlignment="1">
      <alignment horizontal="center" vertical="center" wrapText="1"/>
    </xf>
    <xf numFmtId="0" fontId="0" fillId="3" borderId="19" xfId="0" applyFill="1" applyBorder="1"/>
    <xf numFmtId="0" fontId="3" fillId="0" borderId="5" xfId="0" quotePrefix="1" applyFont="1" applyBorder="1" applyAlignment="1">
      <alignment horizontal="center" vertical="top"/>
    </xf>
    <xf numFmtId="0" fontId="3" fillId="0" borderId="6" xfId="0" quotePrefix="1" applyFont="1" applyBorder="1" applyAlignment="1">
      <alignment horizontal="center" vertical="top"/>
    </xf>
    <xf numFmtId="0" fontId="3" fillId="0" borderId="7" xfId="0" quotePrefix="1" applyFont="1" applyBorder="1" applyAlignment="1">
      <alignment horizontal="center" vertical="top"/>
    </xf>
    <xf numFmtId="0" fontId="1" fillId="0" borderId="9" xfId="0" applyFont="1" applyBorder="1"/>
    <xf numFmtId="0" fontId="1" fillId="0" borderId="9" xfId="0" applyFont="1" applyBorder="1" applyAlignment="1">
      <alignment horizontal="right"/>
    </xf>
    <xf numFmtId="49" fontId="1" fillId="0" borderId="9" xfId="0" applyNumberFormat="1" applyFont="1" applyBorder="1" applyAlignment="1">
      <alignment horizontal="right"/>
    </xf>
    <xf numFmtId="0" fontId="1" fillId="0" borderId="0" xfId="0" applyFont="1"/>
    <xf numFmtId="0" fontId="9" fillId="0" borderId="9" xfId="0" applyFont="1" applyBorder="1"/>
    <xf numFmtId="0" fontId="9" fillId="0" borderId="0" xfId="0" applyFont="1"/>
    <xf numFmtId="0" fontId="9" fillId="0" borderId="0" xfId="0" applyFont="1" applyAlignment="1">
      <alignment wrapText="1"/>
    </xf>
    <xf numFmtId="0" fontId="1" fillId="0" borderId="1" xfId="0" applyFont="1" applyBorder="1"/>
    <xf numFmtId="0" fontId="0" fillId="0" borderId="1" xfId="0" applyBorder="1"/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3" fillId="0" borderId="6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1" fillId="0" borderId="0" xfId="0" applyFont="1" applyAlignment="1">
      <alignment horizontal="center" vertical="center"/>
    </xf>
    <xf numFmtId="16" fontId="0" fillId="0" borderId="0" xfId="0" applyNumberFormat="1"/>
  </cellXfs>
  <cellStyles count="2">
    <cellStyle name="Normal" xfId="0" builtinId="0"/>
    <cellStyle name="Normal 2" xfId="1" xr:uid="{27E78688-982E-40B5-AE28-FA6F39EEC4FD}"/>
  </cellStyles>
  <dxfs count="2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protection locked="0" hidden="0"/>
    </dxf>
    <dxf>
      <protection locked="0" hidden="0"/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protection locked="0" hidden="0"/>
    </dxf>
    <dxf>
      <protection locked="0" hidden="0"/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protection locked="0" hidden="0"/>
    </dxf>
    <dxf>
      <protection locked="0" hidden="0"/>
    </dxf>
    <dxf>
      <protection locked="0" hidden="0"/>
    </dxf>
    <dxf>
      <numFmt numFmtId="1" formatCode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 to packinglist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P_Tools\4545-1.xlsm" TargetMode="External"/><Relationship Id="rId1" Type="http://schemas.openxmlformats.org/officeDocument/2006/relationships/externalLinkPath" Target="4545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bel Template"/>
      <sheetName val="Label Output"/>
      <sheetName val="Packing List"/>
      <sheetName val="Manual Template"/>
      <sheetName val="Mixed Template"/>
      <sheetName val="Company Data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DK Company Vejle A/S
Edisonvej 4
7100 Vejle
Denmark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256290-0A8F-4535-A3BB-3284B9909239}" name="Tabel2" displayName="Tabel2" ref="A1:S421" totalsRowShown="0">
  <autoFilter ref="A1:S421" xr:uid="{8A256290-0A8F-4535-A3BB-3284B9909239}"/>
  <tableColumns count="19">
    <tableColumn id="1" xr3:uid="{8956D55A-FB24-48F8-9F64-DFA5A89BE0B5}" name="PO No" dataDxfId="28"/>
    <tableColumn id="2" xr3:uid="{0119662D-2F2B-4F1F-81D2-18A993E456D2}" name="Style no" dataDxfId="27"/>
    <tableColumn id="3" xr3:uid="{13686764-89BB-4B86-8356-0B18D4B0A985}" name="Colour" dataDxfId="26"/>
    <tableColumn id="11" xr3:uid="{29DD1862-DDFC-48D2-9737-B85FE2608E20}" name="Assortment" dataDxfId="25"/>
    <tableColumn id="4" xr3:uid="{1C858EAE-A2A7-4C09-AEBC-6DCE058ADDB1}" name="Size" dataDxfId="24"/>
    <tableColumn id="5" xr3:uid="{158CF0BA-6446-48C4-9777-A14A38F3AAF7}" name="Length" dataDxfId="23"/>
    <tableColumn id="10" xr3:uid="{AA94A408-AC9D-468D-8227-7D253766D698}" name="Ass No" dataDxfId="22"/>
    <tableColumn id="6" xr3:uid="{9EC6950A-E0E3-4175-B319-F4622195BC25}" name="EAN" dataDxfId="21"/>
    <tableColumn id="7" xr3:uid="{C54BC3F9-4409-42B1-B50B-D65777E2F279}" name="Quantity" dataDxfId="20"/>
    <tableColumn id="8" xr3:uid="{47EF946C-6516-417A-A0FD-9EC4F833C26F}" name="Carton Qty (1)" dataDxfId="19"/>
    <tableColumn id="13" xr3:uid="{0F3A525C-6376-4CE1-B83C-23917B82C135}" name="Qty/Carton (1)" dataDxfId="18"/>
    <tableColumn id="14" xr3:uid="{846D443B-6A88-4AB2-86F2-4DC06C00CED7}" name="Left Quantity (1)" dataDxfId="17">
      <calculatedColumnFormula>I2-(J2*K2)</calculatedColumnFormula>
    </tableColumn>
    <tableColumn id="21" xr3:uid="{98FE7AB1-15A3-4F72-A65A-1706CE4F216F}" name="Carton Qty (2)" dataDxfId="16"/>
    <tableColumn id="22" xr3:uid="{F052621B-8507-4A30-8E79-0655BEC355F8}" name="Qty/Carton (2)" dataDxfId="15"/>
    <tableColumn id="23" xr3:uid="{527A25E6-D062-4E38-8F7A-5706EFB0F124}" name="Left Quantity (2)" dataDxfId="14">
      <calculatedColumnFormula>L2-(M2*N2)</calculatedColumnFormula>
    </tableColumn>
    <tableColumn id="18" xr3:uid="{4D81AC04-5E35-4B1B-B831-830DC6E7B930}" name="Carton Qty (3)" dataDxfId="13"/>
    <tableColumn id="19" xr3:uid="{025BEA4E-485D-4543-8A8C-3425353E7CE0}" name="Qty/Carton (3)" dataDxfId="12"/>
    <tableColumn id="20" xr3:uid="{E90F1B18-D7BD-4589-A9D4-E8620DA3F824}" name="Left Quantity (3)" dataDxfId="11">
      <calculatedColumnFormula>O2-(P2*Q2)</calculatedColumnFormula>
    </tableColumn>
    <tableColumn id="12" xr3:uid="{ABF0F81E-AC5E-43C8-9954-769E78535B12}" name="Column1" dataDxfId="10">
      <calculatedColumnFormula>IF(AND(A2&lt;&gt;"",OR(B2="",C2="",H2="")),1,0)+IF(AND(A2&lt;&gt;"",D2=""),1,0)+IF(AND(D2="Yes",OR(G2="",E2&lt;&gt;"",F2&lt;&gt;"")),1,0)+IF(AND(D2="No",OR(G2&lt;&gt;"",E2="")),1,0)+IF(R2&lt;&gt;0,1,0)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98815-B6BE-467A-A16E-1D23EC2D3A88}">
  <sheetPr codeName="Sheet3"/>
  <dimension ref="A1:V421"/>
  <sheetViews>
    <sheetView tabSelected="1" zoomScale="90" zoomScaleNormal="90" workbookViewId="0">
      <selection activeCell="J20" sqref="J20"/>
    </sheetView>
  </sheetViews>
  <sheetFormatPr defaultRowHeight="14.25"/>
  <cols>
    <col min="1" max="3" width="11.1328125" customWidth="1"/>
    <col min="4" max="4" width="13.33203125" bestFit="1" customWidth="1"/>
    <col min="5" max="7" width="11.1328125" customWidth="1"/>
    <col min="8" max="8" width="17.33203125" style="68" customWidth="1"/>
    <col min="9" max="9" width="11.1328125" customWidth="1"/>
    <col min="10" max="10" width="15.33203125" bestFit="1" customWidth="1"/>
    <col min="11" max="11" width="15.6640625" bestFit="1" customWidth="1"/>
    <col min="12" max="12" width="17.33203125" hidden="1" customWidth="1"/>
    <col min="13" max="13" width="14.46484375" hidden="1" customWidth="1"/>
    <col min="14" max="14" width="15.6640625" hidden="1" customWidth="1"/>
    <col min="15" max="15" width="17.33203125" hidden="1" customWidth="1"/>
    <col min="16" max="16" width="15.33203125" hidden="1" customWidth="1"/>
    <col min="17" max="17" width="15.6640625" hidden="1" customWidth="1"/>
    <col min="18" max="18" width="14.46484375" hidden="1" customWidth="1"/>
    <col min="19" max="19" width="0" hidden="1" customWidth="1"/>
    <col min="21" max="21" width="23.1328125" customWidth="1"/>
  </cols>
  <sheetData>
    <row r="1" spans="1:22">
      <c r="A1" t="s">
        <v>11</v>
      </c>
      <c r="B1" t="s">
        <v>12</v>
      </c>
      <c r="C1" t="s">
        <v>13</v>
      </c>
      <c r="D1" t="s">
        <v>20</v>
      </c>
      <c r="E1" t="s">
        <v>14</v>
      </c>
      <c r="F1" t="s">
        <v>15</v>
      </c>
      <c r="G1" t="s">
        <v>18</v>
      </c>
      <c r="H1" s="68" t="s">
        <v>16</v>
      </c>
      <c r="I1" t="s">
        <v>17</v>
      </c>
      <c r="J1" t="s">
        <v>22</v>
      </c>
      <c r="K1" t="s">
        <v>23</v>
      </c>
      <c r="L1" t="s">
        <v>24</v>
      </c>
      <c r="M1" t="s">
        <v>21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19</v>
      </c>
    </row>
    <row r="2" spans="1:22">
      <c r="A2" t="s">
        <v>49</v>
      </c>
      <c r="B2">
        <v>50109763</v>
      </c>
      <c r="C2">
        <v>108580</v>
      </c>
      <c r="D2" t="s">
        <v>47</v>
      </c>
      <c r="E2" t="s">
        <v>51</v>
      </c>
      <c r="F2" t="s">
        <v>47</v>
      </c>
      <c r="G2" t="s">
        <v>47</v>
      </c>
      <c r="H2" s="68">
        <v>5715576671756</v>
      </c>
      <c r="I2">
        <v>96</v>
      </c>
      <c r="J2">
        <v>6</v>
      </c>
      <c r="K2">
        <v>16</v>
      </c>
      <c r="L2" s="5"/>
      <c r="M2" s="3"/>
      <c r="N2" s="3"/>
      <c r="O2" s="5"/>
      <c r="P2" s="3"/>
      <c r="Q2" s="3"/>
      <c r="R2" s="5"/>
      <c r="S2" s="5"/>
      <c r="U2" s="25" t="s">
        <v>35</v>
      </c>
      <c r="V2" s="26" t="s">
        <v>31</v>
      </c>
    </row>
    <row r="3" spans="1:22">
      <c r="A3" t="s">
        <v>49</v>
      </c>
      <c r="B3">
        <v>50109763</v>
      </c>
      <c r="C3">
        <v>108580</v>
      </c>
      <c r="D3" t="s">
        <v>47</v>
      </c>
      <c r="E3" t="s">
        <v>53</v>
      </c>
      <c r="F3" t="s">
        <v>47</v>
      </c>
      <c r="G3" t="s">
        <v>47</v>
      </c>
      <c r="H3" s="68">
        <v>5715576671756</v>
      </c>
      <c r="I3">
        <v>112</v>
      </c>
      <c r="J3">
        <v>7</v>
      </c>
      <c r="K3">
        <v>16</v>
      </c>
      <c r="L3" s="5"/>
      <c r="M3" s="3"/>
      <c r="N3" s="3"/>
      <c r="O3" s="5"/>
      <c r="P3" s="3"/>
      <c r="Q3" s="3"/>
      <c r="R3" s="5"/>
      <c r="S3" s="5"/>
    </row>
    <row r="4" spans="1:22">
      <c r="A4" t="s">
        <v>49</v>
      </c>
      <c r="B4">
        <v>50109763</v>
      </c>
      <c r="C4">
        <v>108580</v>
      </c>
      <c r="D4" t="s">
        <v>47</v>
      </c>
      <c r="E4" t="s">
        <v>54</v>
      </c>
      <c r="F4" t="s">
        <v>47</v>
      </c>
      <c r="G4" t="s">
        <v>47</v>
      </c>
      <c r="H4" s="68">
        <v>5715576671749</v>
      </c>
      <c r="I4">
        <v>64</v>
      </c>
      <c r="J4">
        <v>4</v>
      </c>
      <c r="K4">
        <v>16</v>
      </c>
      <c r="L4" s="5"/>
      <c r="M4" s="3"/>
      <c r="N4" s="3"/>
      <c r="O4" s="5"/>
      <c r="P4" s="3"/>
      <c r="Q4" s="3"/>
      <c r="R4" s="5"/>
      <c r="S4" s="5"/>
      <c r="U4">
        <f>SUM(Tabel2[Column1])</f>
        <v>0</v>
      </c>
    </row>
    <row r="5" spans="1:22">
      <c r="A5" t="s">
        <v>49</v>
      </c>
      <c r="B5">
        <v>50109763</v>
      </c>
      <c r="C5">
        <v>108580</v>
      </c>
      <c r="D5" t="s">
        <v>47</v>
      </c>
      <c r="E5" t="s">
        <v>51</v>
      </c>
      <c r="F5" t="s">
        <v>47</v>
      </c>
      <c r="G5" t="s">
        <v>47</v>
      </c>
      <c r="H5" s="68">
        <v>5715576671756</v>
      </c>
      <c r="I5">
        <v>13</v>
      </c>
      <c r="J5">
        <v>1</v>
      </c>
      <c r="K5">
        <v>13</v>
      </c>
      <c r="L5" s="5"/>
      <c r="M5" s="3"/>
      <c r="N5" s="3"/>
      <c r="O5" s="5"/>
      <c r="P5" s="3"/>
      <c r="Q5" s="3"/>
      <c r="R5" s="5"/>
      <c r="S5" s="5"/>
    </row>
    <row r="6" spans="1:22">
      <c r="A6" t="s">
        <v>49</v>
      </c>
      <c r="B6">
        <v>50109763</v>
      </c>
      <c r="C6">
        <v>108580</v>
      </c>
      <c r="D6" t="s">
        <v>47</v>
      </c>
      <c r="E6" t="s">
        <v>107</v>
      </c>
      <c r="F6" t="s">
        <v>47</v>
      </c>
      <c r="G6" t="s">
        <v>47</v>
      </c>
      <c r="H6" s="68">
        <v>5715299098687</v>
      </c>
      <c r="I6">
        <v>15</v>
      </c>
      <c r="J6">
        <v>1</v>
      </c>
      <c r="K6" s="111" t="s">
        <v>108</v>
      </c>
      <c r="L6" s="5"/>
      <c r="M6" s="3"/>
      <c r="N6" s="3"/>
      <c r="O6" s="5"/>
      <c r="P6" s="3"/>
      <c r="Q6" s="3"/>
      <c r="R6" s="5"/>
      <c r="S6" s="5"/>
    </row>
    <row r="7" spans="1:22">
      <c r="A7" t="s">
        <v>49</v>
      </c>
      <c r="B7">
        <v>50109763</v>
      </c>
      <c r="C7">
        <v>500122</v>
      </c>
      <c r="D7" t="s">
        <v>47</v>
      </c>
      <c r="E7" t="s">
        <v>51</v>
      </c>
      <c r="F7" t="s">
        <v>47</v>
      </c>
      <c r="G7" t="s">
        <v>47</v>
      </c>
      <c r="H7" s="68">
        <v>5715299098687</v>
      </c>
      <c r="I7">
        <v>34</v>
      </c>
      <c r="J7">
        <v>2</v>
      </c>
      <c r="K7">
        <v>17</v>
      </c>
      <c r="L7" s="5"/>
      <c r="M7" s="3"/>
      <c r="N7" s="3"/>
      <c r="O7" s="5"/>
      <c r="P7" s="3"/>
      <c r="Q7" s="3"/>
      <c r="R7" s="5"/>
      <c r="S7" s="5"/>
    </row>
    <row r="8" spans="1:22">
      <c r="A8" t="s">
        <v>49</v>
      </c>
      <c r="B8">
        <v>50109763</v>
      </c>
      <c r="C8">
        <v>500122</v>
      </c>
      <c r="D8" t="s">
        <v>47</v>
      </c>
      <c r="E8" t="s">
        <v>51</v>
      </c>
      <c r="F8" t="s">
        <v>47</v>
      </c>
      <c r="G8" t="s">
        <v>47</v>
      </c>
      <c r="H8" s="68">
        <v>5715299098687</v>
      </c>
      <c r="I8">
        <v>16</v>
      </c>
      <c r="J8">
        <v>1</v>
      </c>
      <c r="K8">
        <v>16</v>
      </c>
      <c r="L8" s="5"/>
      <c r="M8" s="3"/>
      <c r="N8" s="3"/>
      <c r="O8" s="5"/>
      <c r="P8" s="3"/>
      <c r="Q8" s="3"/>
      <c r="R8" s="5"/>
      <c r="S8" s="5"/>
    </row>
    <row r="9" spans="1:22">
      <c r="A9" t="s">
        <v>49</v>
      </c>
      <c r="B9">
        <v>50109763</v>
      </c>
      <c r="C9">
        <v>500122</v>
      </c>
      <c r="D9" t="s">
        <v>47</v>
      </c>
      <c r="E9" t="s">
        <v>53</v>
      </c>
      <c r="F9" t="s">
        <v>47</v>
      </c>
      <c r="G9" t="s">
        <v>47</v>
      </c>
      <c r="H9" s="68">
        <v>5715299098670</v>
      </c>
      <c r="I9">
        <v>64</v>
      </c>
      <c r="J9">
        <v>4</v>
      </c>
      <c r="K9">
        <v>16</v>
      </c>
      <c r="L9" s="5"/>
      <c r="M9" s="3"/>
      <c r="N9" s="3"/>
      <c r="O9" s="5"/>
      <c r="P9" s="3"/>
      <c r="Q9" s="3"/>
      <c r="R9" s="5"/>
      <c r="S9" s="5"/>
    </row>
    <row r="10" spans="1:22">
      <c r="A10" t="s">
        <v>49</v>
      </c>
      <c r="B10">
        <v>50109763</v>
      </c>
      <c r="C10">
        <v>500122</v>
      </c>
      <c r="D10" t="s">
        <v>47</v>
      </c>
      <c r="E10" t="s">
        <v>54</v>
      </c>
      <c r="F10" t="s">
        <v>47</v>
      </c>
      <c r="G10" t="s">
        <v>47</v>
      </c>
      <c r="H10" s="68">
        <v>5715299098663</v>
      </c>
      <c r="I10">
        <v>80</v>
      </c>
      <c r="J10">
        <v>5</v>
      </c>
      <c r="K10">
        <v>16</v>
      </c>
      <c r="L10" s="5"/>
      <c r="M10" s="3"/>
      <c r="N10" s="3"/>
      <c r="O10" s="5"/>
      <c r="P10" s="3"/>
      <c r="Q10" s="3"/>
      <c r="R10" s="5"/>
      <c r="S10" s="5"/>
    </row>
    <row r="11" spans="1:22">
      <c r="A11" t="s">
        <v>49</v>
      </c>
      <c r="B11">
        <v>50109763</v>
      </c>
      <c r="C11">
        <v>500122</v>
      </c>
      <c r="D11" t="s">
        <v>47</v>
      </c>
      <c r="E11" t="s">
        <v>107</v>
      </c>
      <c r="F11" t="s">
        <v>47</v>
      </c>
      <c r="G11" t="s">
        <v>47</v>
      </c>
      <c r="H11" s="68">
        <v>5715299098663</v>
      </c>
      <c r="I11">
        <v>16</v>
      </c>
      <c r="J11">
        <v>1</v>
      </c>
      <c r="K11" s="111" t="s">
        <v>109</v>
      </c>
      <c r="L11" s="5"/>
      <c r="M11" s="3"/>
      <c r="N11" s="3"/>
      <c r="O11" s="5"/>
      <c r="P11" s="3"/>
      <c r="Q11" s="3"/>
      <c r="R11" s="5"/>
      <c r="S11" s="5"/>
    </row>
    <row r="12" spans="1:22">
      <c r="A12" s="3"/>
      <c r="B12" s="3"/>
      <c r="C12" s="3"/>
      <c r="D12" s="3"/>
      <c r="E12" s="3"/>
      <c r="F12" s="3"/>
      <c r="G12" s="3"/>
      <c r="H12" s="4"/>
      <c r="I12" s="3"/>
      <c r="J12" s="3"/>
      <c r="K12" s="3"/>
      <c r="L12" s="5">
        <f t="shared" ref="L12:L40" si="0">I12-(J12*K12)</f>
        <v>0</v>
      </c>
      <c r="M12" s="3"/>
      <c r="N12" s="3"/>
      <c r="O12" s="5">
        <f t="shared" ref="O12:O40" si="1">L12-(M12*N12)</f>
        <v>0</v>
      </c>
      <c r="P12" s="3"/>
      <c r="Q12" s="3"/>
      <c r="R12" s="5">
        <f t="shared" ref="R12:R40" si="2">O12-(P12*Q12)</f>
        <v>0</v>
      </c>
      <c r="S12" s="5">
        <f t="shared" ref="S12:S40" si="3">IF(AND(A12&lt;&gt;"",OR(B12="",C12="",H12="")),1,0)+IF(AND(A12&lt;&gt;"",D12=""),1,0)+IF(AND(D12="Yes",OR(G12="",E12&lt;&gt;"",F12&lt;&gt;"")),1,0)+IF(AND(D12="No",OR(G12&lt;&gt;"",E12="")),1,0)+IF(R12&lt;&gt;0,1,0)</f>
        <v>0</v>
      </c>
    </row>
    <row r="13" spans="1:22">
      <c r="A13" s="3"/>
      <c r="B13" s="3"/>
      <c r="C13" s="3"/>
      <c r="D13" s="3"/>
      <c r="E13" s="3"/>
      <c r="F13" s="3"/>
      <c r="G13" s="3"/>
      <c r="H13" s="4"/>
      <c r="I13" s="3"/>
      <c r="J13" s="3"/>
      <c r="K13" s="3"/>
      <c r="L13" s="5">
        <f t="shared" si="0"/>
        <v>0</v>
      </c>
      <c r="M13" s="3"/>
      <c r="N13" s="3"/>
      <c r="O13" s="5">
        <f t="shared" si="1"/>
        <v>0</v>
      </c>
      <c r="P13" s="3"/>
      <c r="Q13" s="3"/>
      <c r="R13" s="5">
        <f t="shared" si="2"/>
        <v>0</v>
      </c>
      <c r="S13" s="5">
        <f t="shared" si="3"/>
        <v>0</v>
      </c>
    </row>
    <row r="14" spans="1:22">
      <c r="A14" s="3"/>
      <c r="B14" s="3"/>
      <c r="C14" s="3"/>
      <c r="D14" s="3"/>
      <c r="E14" s="3"/>
      <c r="F14" s="3"/>
      <c r="G14" s="3"/>
      <c r="H14" s="4"/>
      <c r="I14" s="3"/>
      <c r="J14" s="3"/>
      <c r="K14" s="3"/>
      <c r="L14" s="5">
        <f t="shared" si="0"/>
        <v>0</v>
      </c>
      <c r="M14" s="3"/>
      <c r="N14" s="3"/>
      <c r="O14" s="5">
        <f t="shared" si="1"/>
        <v>0</v>
      </c>
      <c r="P14" s="3"/>
      <c r="Q14" s="3"/>
      <c r="R14" s="5">
        <f t="shared" si="2"/>
        <v>0</v>
      </c>
      <c r="S14" s="5">
        <f t="shared" si="3"/>
        <v>0</v>
      </c>
    </row>
    <row r="15" spans="1:22">
      <c r="A15" s="3"/>
      <c r="B15" s="3"/>
      <c r="C15" s="3"/>
      <c r="D15" s="3"/>
      <c r="E15" s="3"/>
      <c r="F15" s="3"/>
      <c r="G15" s="3"/>
      <c r="H15" s="4"/>
      <c r="I15" s="3"/>
      <c r="J15" s="3"/>
      <c r="K15" s="3"/>
      <c r="L15" s="5">
        <f t="shared" si="0"/>
        <v>0</v>
      </c>
      <c r="M15" s="3"/>
      <c r="N15" s="3"/>
      <c r="O15" s="5">
        <f t="shared" si="1"/>
        <v>0</v>
      </c>
      <c r="P15" s="3"/>
      <c r="Q15" s="3"/>
      <c r="R15" s="5">
        <f t="shared" si="2"/>
        <v>0</v>
      </c>
      <c r="S15" s="5">
        <f t="shared" si="3"/>
        <v>0</v>
      </c>
    </row>
    <row r="16" spans="1:22">
      <c r="A16" s="3"/>
      <c r="B16" s="3"/>
      <c r="C16" s="3"/>
      <c r="D16" s="3"/>
      <c r="E16" s="3"/>
      <c r="F16" s="3"/>
      <c r="G16" s="3"/>
      <c r="H16" s="4"/>
      <c r="I16" s="3"/>
      <c r="J16" s="3"/>
      <c r="K16" s="3"/>
      <c r="L16" s="5">
        <f t="shared" si="0"/>
        <v>0</v>
      </c>
      <c r="M16" s="3"/>
      <c r="N16" s="3"/>
      <c r="O16" s="5">
        <f t="shared" si="1"/>
        <v>0</v>
      </c>
      <c r="P16" s="3"/>
      <c r="Q16" s="3"/>
      <c r="R16" s="5">
        <f t="shared" si="2"/>
        <v>0</v>
      </c>
      <c r="S16" s="5">
        <f t="shared" si="3"/>
        <v>0</v>
      </c>
    </row>
    <row r="17" spans="1:19">
      <c r="A17" s="3"/>
      <c r="B17" s="3"/>
      <c r="C17" s="3"/>
      <c r="D17" s="3"/>
      <c r="E17" s="3"/>
      <c r="F17" s="3"/>
      <c r="G17" s="3"/>
      <c r="H17" s="4"/>
      <c r="I17" s="3"/>
      <c r="J17" s="3"/>
      <c r="K17" s="3"/>
      <c r="L17" s="5">
        <f t="shared" si="0"/>
        <v>0</v>
      </c>
      <c r="M17" s="3"/>
      <c r="N17" s="3"/>
      <c r="O17" s="5">
        <f t="shared" si="1"/>
        <v>0</v>
      </c>
      <c r="P17" s="3"/>
      <c r="Q17" s="3"/>
      <c r="R17" s="5">
        <f t="shared" si="2"/>
        <v>0</v>
      </c>
      <c r="S17" s="5">
        <f t="shared" si="3"/>
        <v>0</v>
      </c>
    </row>
    <row r="18" spans="1:19">
      <c r="A18" s="3"/>
      <c r="B18" s="3"/>
      <c r="C18" s="3"/>
      <c r="D18" s="3"/>
      <c r="E18" s="3"/>
      <c r="F18" s="3"/>
      <c r="G18" s="3"/>
      <c r="H18" s="4"/>
      <c r="I18" s="3"/>
      <c r="J18" s="3"/>
      <c r="K18" s="3"/>
      <c r="L18" s="5">
        <f t="shared" si="0"/>
        <v>0</v>
      </c>
      <c r="M18" s="3"/>
      <c r="N18" s="3"/>
      <c r="O18" s="5">
        <f t="shared" si="1"/>
        <v>0</v>
      </c>
      <c r="P18" s="3"/>
      <c r="Q18" s="3"/>
      <c r="R18" s="5">
        <f t="shared" si="2"/>
        <v>0</v>
      </c>
      <c r="S18" s="5">
        <f t="shared" si="3"/>
        <v>0</v>
      </c>
    </row>
    <row r="19" spans="1:19">
      <c r="A19" s="3"/>
      <c r="B19" s="3"/>
      <c r="C19" s="3"/>
      <c r="D19" s="3"/>
      <c r="E19" s="3"/>
      <c r="F19" s="3"/>
      <c r="G19" s="3"/>
      <c r="H19" s="4"/>
      <c r="I19" s="3"/>
      <c r="J19" s="3"/>
      <c r="K19" s="3"/>
      <c r="L19" s="5">
        <f t="shared" si="0"/>
        <v>0</v>
      </c>
      <c r="M19" s="3"/>
      <c r="N19" s="3"/>
      <c r="O19" s="5">
        <f t="shared" si="1"/>
        <v>0</v>
      </c>
      <c r="P19" s="3"/>
      <c r="Q19" s="3"/>
      <c r="R19" s="5">
        <f t="shared" si="2"/>
        <v>0</v>
      </c>
      <c r="S19" s="5">
        <f t="shared" si="3"/>
        <v>0</v>
      </c>
    </row>
    <row r="20" spans="1:19">
      <c r="A20" s="3"/>
      <c r="B20" s="3"/>
      <c r="C20" s="3"/>
      <c r="D20" s="3"/>
      <c r="E20" s="3"/>
      <c r="F20" s="3"/>
      <c r="G20" s="3"/>
      <c r="H20" s="4"/>
      <c r="I20" s="3"/>
      <c r="J20" s="3"/>
      <c r="K20" s="3"/>
      <c r="L20" s="5">
        <f t="shared" si="0"/>
        <v>0</v>
      </c>
      <c r="M20" s="3"/>
      <c r="N20" s="3"/>
      <c r="O20" s="5">
        <f t="shared" si="1"/>
        <v>0</v>
      </c>
      <c r="P20" s="3"/>
      <c r="Q20" s="3"/>
      <c r="R20" s="5">
        <f t="shared" si="2"/>
        <v>0</v>
      </c>
      <c r="S20" s="5">
        <f t="shared" si="3"/>
        <v>0</v>
      </c>
    </row>
    <row r="21" spans="1:19">
      <c r="A21" s="3"/>
      <c r="B21" s="3"/>
      <c r="C21" s="3"/>
      <c r="D21" s="3"/>
      <c r="E21" s="3"/>
      <c r="F21" s="3"/>
      <c r="G21" s="3"/>
      <c r="H21" s="4"/>
      <c r="I21" s="3"/>
      <c r="J21" s="3"/>
      <c r="K21" s="3"/>
      <c r="L21" s="5">
        <f t="shared" si="0"/>
        <v>0</v>
      </c>
      <c r="M21" s="3"/>
      <c r="N21" s="3"/>
      <c r="O21" s="5">
        <f t="shared" si="1"/>
        <v>0</v>
      </c>
      <c r="P21" s="3"/>
      <c r="Q21" s="3"/>
      <c r="R21" s="5">
        <f t="shared" si="2"/>
        <v>0</v>
      </c>
      <c r="S21" s="5">
        <f t="shared" si="3"/>
        <v>0</v>
      </c>
    </row>
    <row r="22" spans="1:19">
      <c r="A22" s="3"/>
      <c r="B22" s="3"/>
      <c r="C22" s="3"/>
      <c r="D22" s="3"/>
      <c r="E22" s="3"/>
      <c r="F22" s="3"/>
      <c r="G22" s="3"/>
      <c r="H22" s="4"/>
      <c r="I22" s="3"/>
      <c r="J22" s="3"/>
      <c r="K22" s="3"/>
      <c r="L22" s="5">
        <f t="shared" si="0"/>
        <v>0</v>
      </c>
      <c r="M22" s="3"/>
      <c r="N22" s="3"/>
      <c r="O22" s="5">
        <f t="shared" si="1"/>
        <v>0</v>
      </c>
      <c r="P22" s="3"/>
      <c r="Q22" s="3"/>
      <c r="R22" s="5">
        <f t="shared" si="2"/>
        <v>0</v>
      </c>
      <c r="S22" s="5">
        <f t="shared" si="3"/>
        <v>0</v>
      </c>
    </row>
    <row r="23" spans="1:19">
      <c r="A23" s="3"/>
      <c r="B23" s="3"/>
      <c r="C23" s="3"/>
      <c r="D23" s="3"/>
      <c r="E23" s="3"/>
      <c r="F23" s="3"/>
      <c r="G23" s="3"/>
      <c r="H23" s="4"/>
      <c r="I23" s="3"/>
      <c r="J23" s="3"/>
      <c r="K23" s="3"/>
      <c r="L23" s="5">
        <f t="shared" si="0"/>
        <v>0</v>
      </c>
      <c r="M23" s="3"/>
      <c r="N23" s="3"/>
      <c r="O23" s="5">
        <f t="shared" si="1"/>
        <v>0</v>
      </c>
      <c r="P23" s="3"/>
      <c r="Q23" s="3"/>
      <c r="R23" s="5">
        <f t="shared" si="2"/>
        <v>0</v>
      </c>
      <c r="S23" s="5">
        <f t="shared" si="3"/>
        <v>0</v>
      </c>
    </row>
    <row r="24" spans="1:19">
      <c r="A24" s="3"/>
      <c r="B24" s="3"/>
      <c r="C24" s="3"/>
      <c r="D24" s="3"/>
      <c r="E24" s="3"/>
      <c r="F24" s="3"/>
      <c r="G24" s="3"/>
      <c r="H24" s="4"/>
      <c r="I24" s="3"/>
      <c r="J24" s="3"/>
      <c r="K24" s="3"/>
      <c r="L24" s="5">
        <f t="shared" si="0"/>
        <v>0</v>
      </c>
      <c r="M24" s="3"/>
      <c r="N24" s="3"/>
      <c r="O24" s="5">
        <f t="shared" si="1"/>
        <v>0</v>
      </c>
      <c r="P24" s="3"/>
      <c r="Q24" s="3"/>
      <c r="R24" s="5">
        <f t="shared" si="2"/>
        <v>0</v>
      </c>
      <c r="S24" s="5">
        <f t="shared" si="3"/>
        <v>0</v>
      </c>
    </row>
    <row r="25" spans="1:19">
      <c r="A25" s="3"/>
      <c r="B25" s="3"/>
      <c r="C25" s="3"/>
      <c r="D25" s="3"/>
      <c r="E25" s="3"/>
      <c r="F25" s="3"/>
      <c r="G25" s="3"/>
      <c r="H25" s="4"/>
      <c r="I25" s="3"/>
      <c r="J25" s="3"/>
      <c r="K25" s="3"/>
      <c r="L25" s="5">
        <f t="shared" si="0"/>
        <v>0</v>
      </c>
      <c r="M25" s="3"/>
      <c r="N25" s="3"/>
      <c r="O25" s="5">
        <f t="shared" si="1"/>
        <v>0</v>
      </c>
      <c r="P25" s="3"/>
      <c r="Q25" s="3"/>
      <c r="R25" s="5">
        <f t="shared" si="2"/>
        <v>0</v>
      </c>
      <c r="S25" s="5">
        <f t="shared" si="3"/>
        <v>0</v>
      </c>
    </row>
    <row r="26" spans="1:19">
      <c r="A26" s="3"/>
      <c r="B26" s="3"/>
      <c r="C26" s="3"/>
      <c r="D26" s="3"/>
      <c r="E26" s="3"/>
      <c r="F26" s="3"/>
      <c r="G26" s="3"/>
      <c r="H26" s="4"/>
      <c r="I26" s="3"/>
      <c r="J26" s="3"/>
      <c r="K26" s="3"/>
      <c r="L26" s="5">
        <f t="shared" si="0"/>
        <v>0</v>
      </c>
      <c r="M26" s="3"/>
      <c r="N26" s="3"/>
      <c r="O26" s="5">
        <f t="shared" si="1"/>
        <v>0</v>
      </c>
      <c r="P26" s="3"/>
      <c r="Q26" s="3"/>
      <c r="R26" s="5">
        <f t="shared" si="2"/>
        <v>0</v>
      </c>
      <c r="S26" s="5">
        <f t="shared" si="3"/>
        <v>0</v>
      </c>
    </row>
    <row r="27" spans="1:19">
      <c r="A27" s="3"/>
      <c r="B27" s="3"/>
      <c r="C27" s="3"/>
      <c r="D27" s="3"/>
      <c r="E27" s="3"/>
      <c r="F27" s="3"/>
      <c r="G27" s="3"/>
      <c r="H27" s="4"/>
      <c r="I27" s="3"/>
      <c r="J27" s="3"/>
      <c r="K27" s="3"/>
      <c r="L27" s="5">
        <f t="shared" si="0"/>
        <v>0</v>
      </c>
      <c r="M27" s="3"/>
      <c r="N27" s="3"/>
      <c r="O27" s="5">
        <f t="shared" si="1"/>
        <v>0</v>
      </c>
      <c r="P27" s="3"/>
      <c r="Q27" s="3"/>
      <c r="R27" s="5">
        <f t="shared" si="2"/>
        <v>0</v>
      </c>
      <c r="S27" s="5">
        <f t="shared" si="3"/>
        <v>0</v>
      </c>
    </row>
    <row r="28" spans="1:19">
      <c r="A28" s="3"/>
      <c r="B28" s="3"/>
      <c r="C28" s="3"/>
      <c r="D28" s="3"/>
      <c r="E28" s="3"/>
      <c r="F28" s="3"/>
      <c r="G28" s="3"/>
      <c r="H28" s="4"/>
      <c r="I28" s="3"/>
      <c r="J28" s="3"/>
      <c r="K28" s="3"/>
      <c r="L28" s="5">
        <f t="shared" si="0"/>
        <v>0</v>
      </c>
      <c r="M28" s="3"/>
      <c r="N28" s="3"/>
      <c r="O28" s="5">
        <f t="shared" si="1"/>
        <v>0</v>
      </c>
      <c r="P28" s="3"/>
      <c r="Q28" s="3"/>
      <c r="R28" s="5">
        <f t="shared" si="2"/>
        <v>0</v>
      </c>
      <c r="S28" s="5">
        <f t="shared" si="3"/>
        <v>0</v>
      </c>
    </row>
    <row r="29" spans="1:19">
      <c r="A29" s="3"/>
      <c r="B29" s="3"/>
      <c r="C29" s="3"/>
      <c r="D29" s="3"/>
      <c r="E29" s="3"/>
      <c r="F29" s="3"/>
      <c r="G29" s="3"/>
      <c r="H29" s="4"/>
      <c r="I29" s="3"/>
      <c r="J29" s="3"/>
      <c r="K29" s="3"/>
      <c r="L29" s="5">
        <f t="shared" si="0"/>
        <v>0</v>
      </c>
      <c r="M29" s="3"/>
      <c r="N29" s="3"/>
      <c r="O29" s="5">
        <f t="shared" si="1"/>
        <v>0</v>
      </c>
      <c r="P29" s="3"/>
      <c r="Q29" s="3"/>
      <c r="R29" s="5">
        <f t="shared" si="2"/>
        <v>0</v>
      </c>
      <c r="S29" s="5">
        <f t="shared" si="3"/>
        <v>0</v>
      </c>
    </row>
    <row r="30" spans="1:19">
      <c r="A30" s="3"/>
      <c r="B30" s="3"/>
      <c r="C30" s="3"/>
      <c r="D30" s="3"/>
      <c r="E30" s="3"/>
      <c r="F30" s="3"/>
      <c r="G30" s="3"/>
      <c r="H30" s="4"/>
      <c r="I30" s="3"/>
      <c r="J30" s="3"/>
      <c r="K30" s="3"/>
      <c r="L30" s="5">
        <f t="shared" si="0"/>
        <v>0</v>
      </c>
      <c r="M30" s="3"/>
      <c r="N30" s="3"/>
      <c r="O30" s="5">
        <f t="shared" si="1"/>
        <v>0</v>
      </c>
      <c r="P30" s="3"/>
      <c r="Q30" s="3"/>
      <c r="R30" s="5">
        <f t="shared" si="2"/>
        <v>0</v>
      </c>
      <c r="S30" s="5">
        <f t="shared" si="3"/>
        <v>0</v>
      </c>
    </row>
    <row r="31" spans="1:19">
      <c r="A31" s="3"/>
      <c r="B31" s="3"/>
      <c r="C31" s="3"/>
      <c r="D31" s="3"/>
      <c r="E31" s="3"/>
      <c r="F31" s="3"/>
      <c r="G31" s="3"/>
      <c r="H31" s="4"/>
      <c r="I31" s="3"/>
      <c r="J31" s="3"/>
      <c r="K31" s="3"/>
      <c r="L31" s="5">
        <f t="shared" si="0"/>
        <v>0</v>
      </c>
      <c r="M31" s="3"/>
      <c r="N31" s="3"/>
      <c r="O31" s="5">
        <f t="shared" si="1"/>
        <v>0</v>
      </c>
      <c r="P31" s="3"/>
      <c r="Q31" s="3"/>
      <c r="R31" s="5">
        <f t="shared" si="2"/>
        <v>0</v>
      </c>
      <c r="S31" s="5">
        <f t="shared" si="3"/>
        <v>0</v>
      </c>
    </row>
    <row r="32" spans="1:19">
      <c r="A32" s="3"/>
      <c r="B32" s="3"/>
      <c r="C32" s="3"/>
      <c r="D32" s="3"/>
      <c r="E32" s="3"/>
      <c r="F32" s="3"/>
      <c r="G32" s="3"/>
      <c r="H32" s="4"/>
      <c r="I32" s="3"/>
      <c r="J32" s="3"/>
      <c r="K32" s="3"/>
      <c r="L32" s="5">
        <f t="shared" si="0"/>
        <v>0</v>
      </c>
      <c r="M32" s="3"/>
      <c r="N32" s="3"/>
      <c r="O32" s="5">
        <f t="shared" si="1"/>
        <v>0</v>
      </c>
      <c r="P32" s="3"/>
      <c r="Q32" s="3"/>
      <c r="R32" s="5">
        <f t="shared" si="2"/>
        <v>0</v>
      </c>
      <c r="S32" s="5">
        <f t="shared" si="3"/>
        <v>0</v>
      </c>
    </row>
    <row r="33" spans="1:19">
      <c r="A33" s="3"/>
      <c r="B33" s="3"/>
      <c r="C33" s="3"/>
      <c r="D33" s="3"/>
      <c r="E33" s="3"/>
      <c r="F33" s="3"/>
      <c r="G33" s="3"/>
      <c r="H33" s="4"/>
      <c r="I33" s="3"/>
      <c r="J33" s="3"/>
      <c r="K33" s="3"/>
      <c r="L33" s="5">
        <f t="shared" si="0"/>
        <v>0</v>
      </c>
      <c r="M33" s="3"/>
      <c r="N33" s="3"/>
      <c r="O33" s="5">
        <f t="shared" si="1"/>
        <v>0</v>
      </c>
      <c r="P33" s="3"/>
      <c r="Q33" s="3"/>
      <c r="R33" s="5">
        <f t="shared" si="2"/>
        <v>0</v>
      </c>
      <c r="S33" s="5">
        <f t="shared" si="3"/>
        <v>0</v>
      </c>
    </row>
    <row r="34" spans="1:19">
      <c r="A34" s="3"/>
      <c r="B34" s="3"/>
      <c r="C34" s="3"/>
      <c r="D34" s="3"/>
      <c r="E34" s="3"/>
      <c r="F34" s="3"/>
      <c r="G34" s="3"/>
      <c r="H34" s="4"/>
      <c r="I34" s="3"/>
      <c r="J34" s="3"/>
      <c r="K34" s="3"/>
      <c r="L34" s="5">
        <f t="shared" si="0"/>
        <v>0</v>
      </c>
      <c r="M34" s="3"/>
      <c r="N34" s="3"/>
      <c r="O34" s="5">
        <f t="shared" si="1"/>
        <v>0</v>
      </c>
      <c r="P34" s="3"/>
      <c r="Q34" s="3"/>
      <c r="R34" s="5">
        <f t="shared" si="2"/>
        <v>0</v>
      </c>
      <c r="S34" s="5">
        <f t="shared" si="3"/>
        <v>0</v>
      </c>
    </row>
    <row r="35" spans="1:19">
      <c r="A35" s="3"/>
      <c r="B35" s="3"/>
      <c r="C35" s="3"/>
      <c r="D35" s="3"/>
      <c r="E35" s="3"/>
      <c r="F35" s="3"/>
      <c r="G35" s="3"/>
      <c r="H35" s="4"/>
      <c r="I35" s="3"/>
      <c r="J35" s="3"/>
      <c r="K35" s="3"/>
      <c r="L35" s="5">
        <f t="shared" si="0"/>
        <v>0</v>
      </c>
      <c r="M35" s="3"/>
      <c r="N35" s="3"/>
      <c r="O35" s="5">
        <f t="shared" si="1"/>
        <v>0</v>
      </c>
      <c r="P35" s="3"/>
      <c r="Q35" s="3"/>
      <c r="R35" s="5">
        <f t="shared" si="2"/>
        <v>0</v>
      </c>
      <c r="S35" s="5">
        <f t="shared" si="3"/>
        <v>0</v>
      </c>
    </row>
    <row r="36" spans="1:19">
      <c r="A36" s="3"/>
      <c r="B36" s="3"/>
      <c r="C36" s="3"/>
      <c r="D36" s="3"/>
      <c r="E36" s="3"/>
      <c r="F36" s="3"/>
      <c r="G36" s="3"/>
      <c r="H36" s="4"/>
      <c r="I36" s="3"/>
      <c r="J36" s="3"/>
      <c r="K36" s="3"/>
      <c r="L36" s="5">
        <f t="shared" si="0"/>
        <v>0</v>
      </c>
      <c r="M36" s="3"/>
      <c r="N36" s="3"/>
      <c r="O36" s="5">
        <f t="shared" si="1"/>
        <v>0</v>
      </c>
      <c r="P36" s="3"/>
      <c r="Q36" s="3"/>
      <c r="R36" s="5">
        <f t="shared" si="2"/>
        <v>0</v>
      </c>
      <c r="S36" s="5">
        <f t="shared" si="3"/>
        <v>0</v>
      </c>
    </row>
    <row r="37" spans="1:19">
      <c r="A37" s="3"/>
      <c r="B37" s="3"/>
      <c r="C37" s="3"/>
      <c r="D37" s="3"/>
      <c r="E37" s="3"/>
      <c r="F37" s="3"/>
      <c r="G37" s="3"/>
      <c r="H37" s="4"/>
      <c r="I37" s="3"/>
      <c r="J37" s="3"/>
      <c r="K37" s="3"/>
      <c r="L37" s="5">
        <f t="shared" si="0"/>
        <v>0</v>
      </c>
      <c r="M37" s="3"/>
      <c r="N37" s="3"/>
      <c r="O37" s="5">
        <f t="shared" si="1"/>
        <v>0</v>
      </c>
      <c r="P37" s="3"/>
      <c r="Q37" s="3"/>
      <c r="R37" s="5">
        <f t="shared" si="2"/>
        <v>0</v>
      </c>
      <c r="S37" s="5">
        <f t="shared" si="3"/>
        <v>0</v>
      </c>
    </row>
    <row r="38" spans="1:19">
      <c r="A38" s="3"/>
      <c r="B38" s="3"/>
      <c r="C38" s="3"/>
      <c r="D38" s="3"/>
      <c r="E38" s="3"/>
      <c r="F38" s="3"/>
      <c r="G38" s="3"/>
      <c r="H38" s="4"/>
      <c r="I38" s="3"/>
      <c r="J38" s="3"/>
      <c r="K38" s="3"/>
      <c r="L38" s="5">
        <f t="shared" si="0"/>
        <v>0</v>
      </c>
      <c r="M38" s="3"/>
      <c r="N38" s="3"/>
      <c r="O38" s="5">
        <f t="shared" si="1"/>
        <v>0</v>
      </c>
      <c r="P38" s="3"/>
      <c r="Q38" s="3"/>
      <c r="R38" s="5">
        <f t="shared" si="2"/>
        <v>0</v>
      </c>
      <c r="S38" s="5">
        <f t="shared" si="3"/>
        <v>0</v>
      </c>
    </row>
    <row r="39" spans="1:19">
      <c r="A39" s="3"/>
      <c r="B39" s="3"/>
      <c r="C39" s="3"/>
      <c r="D39" s="3"/>
      <c r="E39" s="3"/>
      <c r="F39" s="3"/>
      <c r="G39" s="3"/>
      <c r="H39" s="4"/>
      <c r="I39" s="3"/>
      <c r="J39" s="3"/>
      <c r="K39" s="3"/>
      <c r="L39" s="5">
        <f t="shared" si="0"/>
        <v>0</v>
      </c>
      <c r="M39" s="3"/>
      <c r="N39" s="3"/>
      <c r="O39" s="5">
        <f t="shared" si="1"/>
        <v>0</v>
      </c>
      <c r="P39" s="3"/>
      <c r="Q39" s="3"/>
      <c r="R39" s="5">
        <f t="shared" si="2"/>
        <v>0</v>
      </c>
      <c r="S39" s="5">
        <f t="shared" si="3"/>
        <v>0</v>
      </c>
    </row>
    <row r="40" spans="1:19">
      <c r="A40" s="3"/>
      <c r="B40" s="3"/>
      <c r="C40" s="3"/>
      <c r="D40" s="3"/>
      <c r="E40" s="3"/>
      <c r="F40" s="3"/>
      <c r="G40" s="3"/>
      <c r="H40" s="4"/>
      <c r="I40" s="3"/>
      <c r="J40" s="3"/>
      <c r="K40" s="3"/>
      <c r="L40" s="5">
        <f t="shared" si="0"/>
        <v>0</v>
      </c>
      <c r="M40" s="3"/>
      <c r="N40" s="3"/>
      <c r="O40" s="5">
        <f t="shared" si="1"/>
        <v>0</v>
      </c>
      <c r="P40" s="3"/>
      <c r="Q40" s="3"/>
      <c r="R40" s="5">
        <f t="shared" si="2"/>
        <v>0</v>
      </c>
      <c r="S40" s="5">
        <f t="shared" si="3"/>
        <v>0</v>
      </c>
    </row>
    <row r="41" spans="1:19">
      <c r="A41" s="3"/>
      <c r="B41" s="3"/>
      <c r="C41" s="3"/>
      <c r="D41" s="3"/>
      <c r="E41" s="3"/>
      <c r="F41" s="3"/>
      <c r="G41" s="3"/>
      <c r="H41" s="4"/>
      <c r="I41" s="3"/>
      <c r="J41" s="3"/>
      <c r="K41" s="3"/>
      <c r="L41" s="5">
        <f t="shared" ref="L41:L72" si="4">I41-(J41*K41)</f>
        <v>0</v>
      </c>
      <c r="M41" s="3"/>
      <c r="N41" s="3"/>
      <c r="O41" s="5">
        <f t="shared" ref="O41:O72" si="5">L41-(M41*N41)</f>
        <v>0</v>
      </c>
      <c r="P41" s="3"/>
      <c r="Q41" s="3"/>
      <c r="R41" s="5">
        <f t="shared" ref="R41:R72" si="6">O41-(P41*Q41)</f>
        <v>0</v>
      </c>
      <c r="S41" s="5">
        <f t="shared" ref="S41:S72" si="7">IF(AND(A41&lt;&gt;"",OR(B41="",C41="",H41="")),1,0)+IF(AND(A41&lt;&gt;"",D41=""),1,0)+IF(AND(D41="Yes",OR(G41="",E41&lt;&gt;"",F41&lt;&gt;"")),1,0)+IF(AND(D41="No",OR(G41&lt;&gt;"",E41="")),1,0)+IF(R41&lt;&gt;0,1,0)</f>
        <v>0</v>
      </c>
    </row>
    <row r="42" spans="1:19">
      <c r="A42" s="3"/>
      <c r="B42" s="3"/>
      <c r="C42" s="3"/>
      <c r="D42" s="3"/>
      <c r="E42" s="3"/>
      <c r="F42" s="3"/>
      <c r="G42" s="3"/>
      <c r="H42" s="4"/>
      <c r="I42" s="3"/>
      <c r="J42" s="3"/>
      <c r="K42" s="3"/>
      <c r="L42" s="5">
        <f t="shared" si="4"/>
        <v>0</v>
      </c>
      <c r="M42" s="3"/>
      <c r="N42" s="3"/>
      <c r="O42" s="5">
        <f t="shared" si="5"/>
        <v>0</v>
      </c>
      <c r="P42" s="3"/>
      <c r="Q42" s="3"/>
      <c r="R42" s="5">
        <f t="shared" si="6"/>
        <v>0</v>
      </c>
      <c r="S42" s="5">
        <f t="shared" si="7"/>
        <v>0</v>
      </c>
    </row>
    <row r="43" spans="1:19">
      <c r="A43" s="3"/>
      <c r="B43" s="3"/>
      <c r="C43" s="3"/>
      <c r="D43" s="3"/>
      <c r="E43" s="3"/>
      <c r="F43" s="3"/>
      <c r="G43" s="3"/>
      <c r="H43" s="4"/>
      <c r="I43" s="3"/>
      <c r="J43" s="3"/>
      <c r="K43" s="3"/>
      <c r="L43" s="5">
        <f t="shared" si="4"/>
        <v>0</v>
      </c>
      <c r="M43" s="3"/>
      <c r="N43" s="3"/>
      <c r="O43" s="5">
        <f t="shared" si="5"/>
        <v>0</v>
      </c>
      <c r="P43" s="3"/>
      <c r="Q43" s="3"/>
      <c r="R43" s="5">
        <f t="shared" si="6"/>
        <v>0</v>
      </c>
      <c r="S43" s="5">
        <f t="shared" si="7"/>
        <v>0</v>
      </c>
    </row>
    <row r="44" spans="1:19">
      <c r="A44" s="3"/>
      <c r="B44" s="3"/>
      <c r="C44" s="3"/>
      <c r="D44" s="3"/>
      <c r="E44" s="3"/>
      <c r="F44" s="3"/>
      <c r="G44" s="3"/>
      <c r="H44" s="4"/>
      <c r="I44" s="3"/>
      <c r="J44" s="3"/>
      <c r="K44" s="3"/>
      <c r="L44" s="5">
        <f t="shared" si="4"/>
        <v>0</v>
      </c>
      <c r="M44" s="3"/>
      <c r="N44" s="3"/>
      <c r="O44" s="5">
        <f t="shared" si="5"/>
        <v>0</v>
      </c>
      <c r="P44" s="3"/>
      <c r="Q44" s="3"/>
      <c r="R44" s="5">
        <f t="shared" si="6"/>
        <v>0</v>
      </c>
      <c r="S44" s="5">
        <f t="shared" si="7"/>
        <v>0</v>
      </c>
    </row>
    <row r="45" spans="1:19">
      <c r="A45" s="3"/>
      <c r="B45" s="3"/>
      <c r="C45" s="3"/>
      <c r="D45" s="3"/>
      <c r="E45" s="3"/>
      <c r="F45" s="3"/>
      <c r="G45" s="3"/>
      <c r="H45" s="4"/>
      <c r="I45" s="3"/>
      <c r="J45" s="3"/>
      <c r="K45" s="3"/>
      <c r="L45" s="5">
        <f t="shared" si="4"/>
        <v>0</v>
      </c>
      <c r="M45" s="3"/>
      <c r="N45" s="3"/>
      <c r="O45" s="5">
        <f t="shared" si="5"/>
        <v>0</v>
      </c>
      <c r="P45" s="3"/>
      <c r="Q45" s="3"/>
      <c r="R45" s="5">
        <f t="shared" si="6"/>
        <v>0</v>
      </c>
      <c r="S45" s="5">
        <f t="shared" si="7"/>
        <v>0</v>
      </c>
    </row>
    <row r="46" spans="1:19">
      <c r="A46" s="3"/>
      <c r="B46" s="3"/>
      <c r="C46" s="3"/>
      <c r="D46" s="3"/>
      <c r="E46" s="3"/>
      <c r="F46" s="3"/>
      <c r="G46" s="3"/>
      <c r="H46" s="4"/>
      <c r="I46" s="3"/>
      <c r="J46" s="3"/>
      <c r="K46" s="3"/>
      <c r="L46" s="5">
        <f t="shared" si="4"/>
        <v>0</v>
      </c>
      <c r="M46" s="3"/>
      <c r="N46" s="3"/>
      <c r="O46" s="5">
        <f t="shared" si="5"/>
        <v>0</v>
      </c>
      <c r="P46" s="3"/>
      <c r="Q46" s="3"/>
      <c r="R46" s="5">
        <f t="shared" si="6"/>
        <v>0</v>
      </c>
      <c r="S46" s="5">
        <f t="shared" si="7"/>
        <v>0</v>
      </c>
    </row>
    <row r="47" spans="1:19">
      <c r="A47" s="3"/>
      <c r="B47" s="3"/>
      <c r="C47" s="3"/>
      <c r="D47" s="3"/>
      <c r="E47" s="3"/>
      <c r="F47" s="3"/>
      <c r="G47" s="3"/>
      <c r="H47" s="4"/>
      <c r="I47" s="3"/>
      <c r="J47" s="3"/>
      <c r="K47" s="3"/>
      <c r="L47" s="5">
        <f t="shared" si="4"/>
        <v>0</v>
      </c>
      <c r="M47" s="3"/>
      <c r="N47" s="3"/>
      <c r="O47" s="5">
        <f t="shared" si="5"/>
        <v>0</v>
      </c>
      <c r="P47" s="3"/>
      <c r="Q47" s="3"/>
      <c r="R47" s="5">
        <f t="shared" si="6"/>
        <v>0</v>
      </c>
      <c r="S47" s="5">
        <f t="shared" si="7"/>
        <v>0</v>
      </c>
    </row>
    <row r="48" spans="1:19">
      <c r="A48" s="3"/>
      <c r="B48" s="3"/>
      <c r="C48" s="3"/>
      <c r="D48" s="3"/>
      <c r="E48" s="3"/>
      <c r="F48" s="3"/>
      <c r="G48" s="3"/>
      <c r="H48" s="4"/>
      <c r="I48" s="3"/>
      <c r="J48" s="3"/>
      <c r="K48" s="3"/>
      <c r="L48" s="5">
        <f t="shared" si="4"/>
        <v>0</v>
      </c>
      <c r="M48" s="3"/>
      <c r="N48" s="3"/>
      <c r="O48" s="5">
        <f t="shared" si="5"/>
        <v>0</v>
      </c>
      <c r="P48" s="3"/>
      <c r="Q48" s="3"/>
      <c r="R48" s="5">
        <f t="shared" si="6"/>
        <v>0</v>
      </c>
      <c r="S48" s="5">
        <f t="shared" si="7"/>
        <v>0</v>
      </c>
    </row>
    <row r="49" spans="1:19">
      <c r="A49" s="3"/>
      <c r="B49" s="3"/>
      <c r="C49" s="3"/>
      <c r="D49" s="3"/>
      <c r="E49" s="3"/>
      <c r="F49" s="3"/>
      <c r="G49" s="3"/>
      <c r="H49" s="4"/>
      <c r="I49" s="3"/>
      <c r="J49" s="3"/>
      <c r="K49" s="3"/>
      <c r="L49" s="5">
        <f t="shared" si="4"/>
        <v>0</v>
      </c>
      <c r="M49" s="3"/>
      <c r="N49" s="3"/>
      <c r="O49" s="5">
        <f t="shared" si="5"/>
        <v>0</v>
      </c>
      <c r="P49" s="3"/>
      <c r="Q49" s="3"/>
      <c r="R49" s="5">
        <f t="shared" si="6"/>
        <v>0</v>
      </c>
      <c r="S49" s="5">
        <f t="shared" si="7"/>
        <v>0</v>
      </c>
    </row>
    <row r="50" spans="1:19">
      <c r="A50" s="3"/>
      <c r="B50" s="3"/>
      <c r="C50" s="3"/>
      <c r="D50" s="3"/>
      <c r="E50" s="3"/>
      <c r="F50" s="3"/>
      <c r="G50" s="3"/>
      <c r="H50" s="4"/>
      <c r="I50" s="3"/>
      <c r="J50" s="3"/>
      <c r="K50" s="3"/>
      <c r="L50" s="5">
        <f t="shared" si="4"/>
        <v>0</v>
      </c>
      <c r="M50" s="3"/>
      <c r="N50" s="3"/>
      <c r="O50" s="5">
        <f t="shared" si="5"/>
        <v>0</v>
      </c>
      <c r="P50" s="3"/>
      <c r="Q50" s="3"/>
      <c r="R50" s="5">
        <f t="shared" si="6"/>
        <v>0</v>
      </c>
      <c r="S50" s="5">
        <f t="shared" si="7"/>
        <v>0</v>
      </c>
    </row>
    <row r="51" spans="1:19">
      <c r="A51" s="3"/>
      <c r="B51" s="3"/>
      <c r="C51" s="3"/>
      <c r="D51" s="3"/>
      <c r="E51" s="3"/>
      <c r="F51" s="3"/>
      <c r="G51" s="3"/>
      <c r="H51" s="4"/>
      <c r="I51" s="3"/>
      <c r="J51" s="3"/>
      <c r="K51" s="3"/>
      <c r="L51" s="5">
        <f t="shared" si="4"/>
        <v>0</v>
      </c>
      <c r="M51" s="3"/>
      <c r="N51" s="3"/>
      <c r="O51" s="5">
        <f t="shared" si="5"/>
        <v>0</v>
      </c>
      <c r="P51" s="3"/>
      <c r="Q51" s="3"/>
      <c r="R51" s="5">
        <f t="shared" si="6"/>
        <v>0</v>
      </c>
      <c r="S51" s="5">
        <f t="shared" si="7"/>
        <v>0</v>
      </c>
    </row>
    <row r="52" spans="1:19">
      <c r="A52" s="3"/>
      <c r="B52" s="3"/>
      <c r="C52" s="3"/>
      <c r="D52" s="3"/>
      <c r="E52" s="3"/>
      <c r="F52" s="3"/>
      <c r="G52" s="3"/>
      <c r="H52" s="4"/>
      <c r="I52" s="3"/>
      <c r="J52" s="3"/>
      <c r="K52" s="3"/>
      <c r="L52" s="5">
        <f t="shared" si="4"/>
        <v>0</v>
      </c>
      <c r="M52" s="3"/>
      <c r="N52" s="3"/>
      <c r="O52" s="5">
        <f t="shared" si="5"/>
        <v>0</v>
      </c>
      <c r="P52" s="3"/>
      <c r="Q52" s="3"/>
      <c r="R52" s="5">
        <f t="shared" si="6"/>
        <v>0</v>
      </c>
      <c r="S52" s="5">
        <f t="shared" si="7"/>
        <v>0</v>
      </c>
    </row>
    <row r="53" spans="1:19">
      <c r="A53" s="3"/>
      <c r="B53" s="3"/>
      <c r="C53" s="3"/>
      <c r="D53" s="3"/>
      <c r="E53" s="3"/>
      <c r="F53" s="3"/>
      <c r="G53" s="3"/>
      <c r="H53" s="4"/>
      <c r="I53" s="3"/>
      <c r="J53" s="3"/>
      <c r="K53" s="3"/>
      <c r="L53" s="5">
        <f t="shared" si="4"/>
        <v>0</v>
      </c>
      <c r="M53" s="3"/>
      <c r="N53" s="3"/>
      <c r="O53" s="5">
        <f t="shared" si="5"/>
        <v>0</v>
      </c>
      <c r="P53" s="3"/>
      <c r="Q53" s="3"/>
      <c r="R53" s="5">
        <f t="shared" si="6"/>
        <v>0</v>
      </c>
      <c r="S53" s="5">
        <f t="shared" si="7"/>
        <v>0</v>
      </c>
    </row>
    <row r="54" spans="1:19">
      <c r="A54" s="3"/>
      <c r="B54" s="3"/>
      <c r="C54" s="3"/>
      <c r="D54" s="3"/>
      <c r="E54" s="3"/>
      <c r="F54" s="3"/>
      <c r="G54" s="3"/>
      <c r="H54" s="4"/>
      <c r="I54" s="3"/>
      <c r="J54" s="3"/>
      <c r="K54" s="3"/>
      <c r="L54" s="5">
        <f t="shared" si="4"/>
        <v>0</v>
      </c>
      <c r="M54" s="3"/>
      <c r="N54" s="3"/>
      <c r="O54" s="5">
        <f t="shared" si="5"/>
        <v>0</v>
      </c>
      <c r="P54" s="3"/>
      <c r="Q54" s="3"/>
      <c r="R54" s="5">
        <f t="shared" si="6"/>
        <v>0</v>
      </c>
      <c r="S54" s="5">
        <f t="shared" si="7"/>
        <v>0</v>
      </c>
    </row>
    <row r="55" spans="1:19">
      <c r="A55" s="3"/>
      <c r="B55" s="3"/>
      <c r="C55" s="3"/>
      <c r="D55" s="3"/>
      <c r="E55" s="3"/>
      <c r="F55" s="3"/>
      <c r="G55" s="3"/>
      <c r="H55" s="4"/>
      <c r="I55" s="3"/>
      <c r="J55" s="3"/>
      <c r="K55" s="3"/>
      <c r="L55" s="5">
        <f t="shared" si="4"/>
        <v>0</v>
      </c>
      <c r="M55" s="3"/>
      <c r="N55" s="3"/>
      <c r="O55" s="5">
        <f t="shared" si="5"/>
        <v>0</v>
      </c>
      <c r="P55" s="3"/>
      <c r="Q55" s="3"/>
      <c r="R55" s="5">
        <f t="shared" si="6"/>
        <v>0</v>
      </c>
      <c r="S55" s="5">
        <f t="shared" si="7"/>
        <v>0</v>
      </c>
    </row>
    <row r="56" spans="1:19">
      <c r="A56" s="3"/>
      <c r="B56" s="3"/>
      <c r="C56" s="3"/>
      <c r="D56" s="3"/>
      <c r="E56" s="3"/>
      <c r="F56" s="3"/>
      <c r="G56" s="3"/>
      <c r="H56" s="4"/>
      <c r="I56" s="3"/>
      <c r="J56" s="3"/>
      <c r="K56" s="3"/>
      <c r="L56" s="5">
        <f t="shared" si="4"/>
        <v>0</v>
      </c>
      <c r="M56" s="3"/>
      <c r="N56" s="3"/>
      <c r="O56" s="5">
        <f t="shared" si="5"/>
        <v>0</v>
      </c>
      <c r="P56" s="3"/>
      <c r="Q56" s="3"/>
      <c r="R56" s="5">
        <f t="shared" si="6"/>
        <v>0</v>
      </c>
      <c r="S56" s="5">
        <f t="shared" si="7"/>
        <v>0</v>
      </c>
    </row>
    <row r="57" spans="1:19">
      <c r="A57" s="3"/>
      <c r="B57" s="3"/>
      <c r="C57" s="3"/>
      <c r="D57" s="3"/>
      <c r="E57" s="3"/>
      <c r="F57" s="3"/>
      <c r="G57" s="3"/>
      <c r="H57" s="4"/>
      <c r="I57" s="3"/>
      <c r="J57" s="3"/>
      <c r="K57" s="3"/>
      <c r="L57" s="5">
        <f t="shared" si="4"/>
        <v>0</v>
      </c>
      <c r="M57" s="3"/>
      <c r="N57" s="3"/>
      <c r="O57" s="5">
        <f t="shared" si="5"/>
        <v>0</v>
      </c>
      <c r="P57" s="3"/>
      <c r="Q57" s="3"/>
      <c r="R57" s="5">
        <f t="shared" si="6"/>
        <v>0</v>
      </c>
      <c r="S57" s="5">
        <f t="shared" si="7"/>
        <v>0</v>
      </c>
    </row>
    <row r="58" spans="1:19">
      <c r="A58" s="3"/>
      <c r="B58" s="3"/>
      <c r="C58" s="3"/>
      <c r="D58" s="3"/>
      <c r="E58" s="3"/>
      <c r="F58" s="3"/>
      <c r="G58" s="3"/>
      <c r="H58" s="4"/>
      <c r="I58" s="3"/>
      <c r="J58" s="3"/>
      <c r="K58" s="3"/>
      <c r="L58" s="5">
        <f t="shared" si="4"/>
        <v>0</v>
      </c>
      <c r="M58" s="3"/>
      <c r="N58" s="3"/>
      <c r="O58" s="5">
        <f t="shared" si="5"/>
        <v>0</v>
      </c>
      <c r="P58" s="3"/>
      <c r="Q58" s="3"/>
      <c r="R58" s="5">
        <f t="shared" si="6"/>
        <v>0</v>
      </c>
      <c r="S58" s="5">
        <f t="shared" si="7"/>
        <v>0</v>
      </c>
    </row>
    <row r="59" spans="1:19">
      <c r="A59" s="3"/>
      <c r="B59" s="3"/>
      <c r="C59" s="3"/>
      <c r="D59" s="3"/>
      <c r="E59" s="3"/>
      <c r="F59" s="3"/>
      <c r="G59" s="3"/>
      <c r="H59" s="4"/>
      <c r="I59" s="3"/>
      <c r="J59" s="3"/>
      <c r="K59" s="3"/>
      <c r="L59" s="5">
        <f t="shared" si="4"/>
        <v>0</v>
      </c>
      <c r="M59" s="3"/>
      <c r="N59" s="3"/>
      <c r="O59" s="5">
        <f t="shared" si="5"/>
        <v>0</v>
      </c>
      <c r="P59" s="3"/>
      <c r="Q59" s="3"/>
      <c r="R59" s="5">
        <f t="shared" si="6"/>
        <v>0</v>
      </c>
      <c r="S59" s="5">
        <f t="shared" si="7"/>
        <v>0</v>
      </c>
    </row>
    <row r="60" spans="1:19">
      <c r="A60" s="3"/>
      <c r="B60" s="3"/>
      <c r="C60" s="3"/>
      <c r="D60" s="3"/>
      <c r="E60" s="3"/>
      <c r="F60" s="3"/>
      <c r="G60" s="3"/>
      <c r="H60" s="4"/>
      <c r="I60" s="3"/>
      <c r="J60" s="3"/>
      <c r="K60" s="3"/>
      <c r="L60" s="5">
        <f t="shared" si="4"/>
        <v>0</v>
      </c>
      <c r="M60" s="3"/>
      <c r="N60" s="3"/>
      <c r="O60" s="5">
        <f t="shared" si="5"/>
        <v>0</v>
      </c>
      <c r="P60" s="3"/>
      <c r="Q60" s="3"/>
      <c r="R60" s="5">
        <f t="shared" si="6"/>
        <v>0</v>
      </c>
      <c r="S60" s="5">
        <f t="shared" si="7"/>
        <v>0</v>
      </c>
    </row>
    <row r="61" spans="1:19">
      <c r="A61" s="3"/>
      <c r="B61" s="3"/>
      <c r="C61" s="3"/>
      <c r="D61" s="3"/>
      <c r="E61" s="3"/>
      <c r="F61" s="3"/>
      <c r="G61" s="3"/>
      <c r="H61" s="4"/>
      <c r="I61" s="3"/>
      <c r="J61" s="3"/>
      <c r="K61" s="3"/>
      <c r="L61" s="5">
        <f t="shared" si="4"/>
        <v>0</v>
      </c>
      <c r="M61" s="3"/>
      <c r="N61" s="3"/>
      <c r="O61" s="5">
        <f t="shared" si="5"/>
        <v>0</v>
      </c>
      <c r="P61" s="3"/>
      <c r="Q61" s="3"/>
      <c r="R61" s="5">
        <f t="shared" si="6"/>
        <v>0</v>
      </c>
      <c r="S61" s="5">
        <f t="shared" si="7"/>
        <v>0</v>
      </c>
    </row>
    <row r="62" spans="1:19">
      <c r="A62" s="3"/>
      <c r="B62" s="3"/>
      <c r="C62" s="3"/>
      <c r="D62" s="3"/>
      <c r="E62" s="3"/>
      <c r="F62" s="3"/>
      <c r="G62" s="3"/>
      <c r="H62" s="4"/>
      <c r="I62" s="3"/>
      <c r="J62" s="3"/>
      <c r="K62" s="3"/>
      <c r="L62" s="5">
        <f t="shared" si="4"/>
        <v>0</v>
      </c>
      <c r="M62" s="3"/>
      <c r="N62" s="3"/>
      <c r="O62" s="5">
        <f t="shared" si="5"/>
        <v>0</v>
      </c>
      <c r="P62" s="3"/>
      <c r="Q62" s="3"/>
      <c r="R62" s="5">
        <f t="shared" si="6"/>
        <v>0</v>
      </c>
      <c r="S62" s="5">
        <f t="shared" si="7"/>
        <v>0</v>
      </c>
    </row>
    <row r="63" spans="1:19">
      <c r="A63" s="3"/>
      <c r="B63" s="3"/>
      <c r="C63" s="3"/>
      <c r="D63" s="3"/>
      <c r="E63" s="3"/>
      <c r="F63" s="3"/>
      <c r="G63" s="3"/>
      <c r="H63" s="4"/>
      <c r="I63" s="3"/>
      <c r="J63" s="3"/>
      <c r="K63" s="3"/>
      <c r="L63" s="5">
        <f t="shared" si="4"/>
        <v>0</v>
      </c>
      <c r="M63" s="3"/>
      <c r="N63" s="3"/>
      <c r="O63" s="5">
        <f t="shared" si="5"/>
        <v>0</v>
      </c>
      <c r="P63" s="3"/>
      <c r="Q63" s="3"/>
      <c r="R63" s="5">
        <f t="shared" si="6"/>
        <v>0</v>
      </c>
      <c r="S63" s="5">
        <f t="shared" si="7"/>
        <v>0</v>
      </c>
    </row>
    <row r="64" spans="1:19">
      <c r="A64" s="3"/>
      <c r="B64" s="3"/>
      <c r="C64" s="3"/>
      <c r="D64" s="3"/>
      <c r="E64" s="3"/>
      <c r="F64" s="3"/>
      <c r="G64" s="3"/>
      <c r="H64" s="4"/>
      <c r="I64" s="3"/>
      <c r="J64" s="3"/>
      <c r="K64" s="3"/>
      <c r="L64" s="5">
        <f t="shared" si="4"/>
        <v>0</v>
      </c>
      <c r="M64" s="3"/>
      <c r="N64" s="3"/>
      <c r="O64" s="5">
        <f t="shared" si="5"/>
        <v>0</v>
      </c>
      <c r="P64" s="3"/>
      <c r="Q64" s="3"/>
      <c r="R64" s="5">
        <f t="shared" si="6"/>
        <v>0</v>
      </c>
      <c r="S64" s="5">
        <f t="shared" si="7"/>
        <v>0</v>
      </c>
    </row>
    <row r="65" spans="1:19">
      <c r="A65" s="3"/>
      <c r="B65" s="3"/>
      <c r="C65" s="3"/>
      <c r="D65" s="3"/>
      <c r="E65" s="3"/>
      <c r="F65" s="3"/>
      <c r="G65" s="3"/>
      <c r="H65" s="4"/>
      <c r="I65" s="3"/>
      <c r="J65" s="3"/>
      <c r="K65" s="3"/>
      <c r="L65" s="5">
        <f t="shared" si="4"/>
        <v>0</v>
      </c>
      <c r="M65" s="3"/>
      <c r="N65" s="3"/>
      <c r="O65" s="5">
        <f t="shared" si="5"/>
        <v>0</v>
      </c>
      <c r="P65" s="3"/>
      <c r="Q65" s="3"/>
      <c r="R65" s="5">
        <f t="shared" si="6"/>
        <v>0</v>
      </c>
      <c r="S65" s="5">
        <f t="shared" si="7"/>
        <v>0</v>
      </c>
    </row>
    <row r="66" spans="1:19">
      <c r="A66" s="3"/>
      <c r="B66" s="3"/>
      <c r="C66" s="3"/>
      <c r="D66" s="3"/>
      <c r="E66" s="3"/>
      <c r="F66" s="3"/>
      <c r="G66" s="3"/>
      <c r="H66" s="4"/>
      <c r="I66" s="3"/>
      <c r="J66" s="3"/>
      <c r="K66" s="3"/>
      <c r="L66" s="5">
        <f t="shared" si="4"/>
        <v>0</v>
      </c>
      <c r="M66" s="3"/>
      <c r="N66" s="3"/>
      <c r="O66" s="5">
        <f t="shared" si="5"/>
        <v>0</v>
      </c>
      <c r="P66" s="3"/>
      <c r="Q66" s="3"/>
      <c r="R66" s="5">
        <f t="shared" si="6"/>
        <v>0</v>
      </c>
      <c r="S66" s="5">
        <f t="shared" si="7"/>
        <v>0</v>
      </c>
    </row>
    <row r="67" spans="1:19">
      <c r="A67" s="3"/>
      <c r="B67" s="3"/>
      <c r="C67" s="3"/>
      <c r="D67" s="3"/>
      <c r="E67" s="3"/>
      <c r="F67" s="3"/>
      <c r="G67" s="3"/>
      <c r="H67" s="4"/>
      <c r="I67" s="3"/>
      <c r="J67" s="3"/>
      <c r="K67" s="3"/>
      <c r="L67" s="5">
        <f t="shared" si="4"/>
        <v>0</v>
      </c>
      <c r="M67" s="3"/>
      <c r="N67" s="3"/>
      <c r="O67" s="5">
        <f t="shared" si="5"/>
        <v>0</v>
      </c>
      <c r="P67" s="3"/>
      <c r="Q67" s="3"/>
      <c r="R67" s="5">
        <f t="shared" si="6"/>
        <v>0</v>
      </c>
      <c r="S67" s="5">
        <f t="shared" si="7"/>
        <v>0</v>
      </c>
    </row>
    <row r="68" spans="1:19">
      <c r="A68" s="3"/>
      <c r="B68" s="3"/>
      <c r="C68" s="3"/>
      <c r="D68" s="3"/>
      <c r="E68" s="3"/>
      <c r="F68" s="3"/>
      <c r="G68" s="3"/>
      <c r="H68" s="4"/>
      <c r="I68" s="3"/>
      <c r="J68" s="3"/>
      <c r="K68" s="3"/>
      <c r="L68" s="5">
        <f t="shared" si="4"/>
        <v>0</v>
      </c>
      <c r="M68" s="3"/>
      <c r="N68" s="3"/>
      <c r="O68" s="5">
        <f t="shared" si="5"/>
        <v>0</v>
      </c>
      <c r="P68" s="3"/>
      <c r="Q68" s="3"/>
      <c r="R68" s="5">
        <f t="shared" si="6"/>
        <v>0</v>
      </c>
      <c r="S68" s="5">
        <f t="shared" si="7"/>
        <v>0</v>
      </c>
    </row>
    <row r="69" spans="1:19">
      <c r="A69" s="3"/>
      <c r="B69" s="3"/>
      <c r="C69" s="3"/>
      <c r="D69" s="3"/>
      <c r="E69" s="3"/>
      <c r="F69" s="3"/>
      <c r="G69" s="3"/>
      <c r="H69" s="4"/>
      <c r="I69" s="3"/>
      <c r="J69" s="3"/>
      <c r="K69" s="3"/>
      <c r="L69" s="5">
        <f t="shared" si="4"/>
        <v>0</v>
      </c>
      <c r="M69" s="3"/>
      <c r="N69" s="3"/>
      <c r="O69" s="5">
        <f t="shared" si="5"/>
        <v>0</v>
      </c>
      <c r="P69" s="3"/>
      <c r="Q69" s="3"/>
      <c r="R69" s="5">
        <f t="shared" si="6"/>
        <v>0</v>
      </c>
      <c r="S69" s="5">
        <f t="shared" si="7"/>
        <v>0</v>
      </c>
    </row>
    <row r="70" spans="1:19">
      <c r="A70" s="3"/>
      <c r="B70" s="3"/>
      <c r="C70" s="3"/>
      <c r="D70" s="3"/>
      <c r="E70" s="3"/>
      <c r="F70" s="3"/>
      <c r="G70" s="3"/>
      <c r="H70" s="4"/>
      <c r="I70" s="3"/>
      <c r="J70" s="3"/>
      <c r="K70" s="3"/>
      <c r="L70" s="5">
        <f t="shared" si="4"/>
        <v>0</v>
      </c>
      <c r="M70" s="3"/>
      <c r="N70" s="3"/>
      <c r="O70" s="5">
        <f t="shared" si="5"/>
        <v>0</v>
      </c>
      <c r="P70" s="3"/>
      <c r="Q70" s="3"/>
      <c r="R70" s="5">
        <f t="shared" si="6"/>
        <v>0</v>
      </c>
      <c r="S70" s="5">
        <f t="shared" si="7"/>
        <v>0</v>
      </c>
    </row>
    <row r="71" spans="1:19">
      <c r="A71" s="3"/>
      <c r="B71" s="3"/>
      <c r="C71" s="3"/>
      <c r="D71" s="3"/>
      <c r="E71" s="3"/>
      <c r="F71" s="3"/>
      <c r="G71" s="3"/>
      <c r="H71" s="4"/>
      <c r="I71" s="3"/>
      <c r="J71" s="3"/>
      <c r="K71" s="3"/>
      <c r="L71" s="5">
        <f t="shared" si="4"/>
        <v>0</v>
      </c>
      <c r="M71" s="3"/>
      <c r="N71" s="3"/>
      <c r="O71" s="5">
        <f t="shared" si="5"/>
        <v>0</v>
      </c>
      <c r="P71" s="3"/>
      <c r="Q71" s="3"/>
      <c r="R71" s="5">
        <f t="shared" si="6"/>
        <v>0</v>
      </c>
      <c r="S71" s="5">
        <f t="shared" si="7"/>
        <v>0</v>
      </c>
    </row>
    <row r="72" spans="1:19">
      <c r="A72" s="3"/>
      <c r="B72" s="3"/>
      <c r="C72" s="3"/>
      <c r="D72" s="3"/>
      <c r="E72" s="3"/>
      <c r="F72" s="3"/>
      <c r="G72" s="3"/>
      <c r="H72" s="4"/>
      <c r="I72" s="3"/>
      <c r="J72" s="3"/>
      <c r="K72" s="3"/>
      <c r="L72" s="5">
        <f t="shared" si="4"/>
        <v>0</v>
      </c>
      <c r="M72" s="3"/>
      <c r="N72" s="3"/>
      <c r="O72" s="5">
        <f t="shared" si="5"/>
        <v>0</v>
      </c>
      <c r="P72" s="3"/>
      <c r="Q72" s="3"/>
      <c r="R72" s="5">
        <f t="shared" si="6"/>
        <v>0</v>
      </c>
      <c r="S72" s="5">
        <f t="shared" si="7"/>
        <v>0</v>
      </c>
    </row>
    <row r="73" spans="1:19">
      <c r="A73" s="3"/>
      <c r="B73" s="3"/>
      <c r="C73" s="3"/>
      <c r="D73" s="3"/>
      <c r="E73" s="3"/>
      <c r="F73" s="3"/>
      <c r="G73" s="3"/>
      <c r="H73" s="4"/>
      <c r="I73" s="3"/>
      <c r="J73" s="3"/>
      <c r="K73" s="3"/>
      <c r="L73" s="5">
        <f t="shared" ref="L73:L84" si="8">I73-(J73*K73)</f>
        <v>0</v>
      </c>
      <c r="M73" s="3"/>
      <c r="N73" s="3"/>
      <c r="O73" s="5">
        <f t="shared" ref="O73:O84" si="9">L73-(M73*N73)</f>
        <v>0</v>
      </c>
      <c r="P73" s="3"/>
      <c r="Q73" s="3"/>
      <c r="R73" s="5">
        <f t="shared" ref="R73:R84" si="10">O73-(P73*Q73)</f>
        <v>0</v>
      </c>
      <c r="S73" s="5">
        <f t="shared" ref="S73:S84" si="11">IF(AND(A73&lt;&gt;"",OR(B73="",C73="",H73="")),1,0)+IF(AND(A73&lt;&gt;"",D73=""),1,0)+IF(AND(D73="Yes",OR(G73="",E73&lt;&gt;"",F73&lt;&gt;"")),1,0)+IF(AND(D73="No",OR(G73&lt;&gt;"",E73="")),1,0)+IF(R73&lt;&gt;0,1,0)</f>
        <v>0</v>
      </c>
    </row>
    <row r="74" spans="1:19">
      <c r="A74" s="3"/>
      <c r="B74" s="3"/>
      <c r="C74" s="3"/>
      <c r="D74" s="3"/>
      <c r="E74" s="3"/>
      <c r="F74" s="3"/>
      <c r="G74" s="3"/>
      <c r="H74" s="4"/>
      <c r="I74" s="3"/>
      <c r="J74" s="3"/>
      <c r="K74" s="3"/>
      <c r="L74" s="5">
        <f t="shared" si="8"/>
        <v>0</v>
      </c>
      <c r="M74" s="3"/>
      <c r="N74" s="3"/>
      <c r="O74" s="5">
        <f t="shared" si="9"/>
        <v>0</v>
      </c>
      <c r="P74" s="3"/>
      <c r="Q74" s="3"/>
      <c r="R74" s="5">
        <f t="shared" si="10"/>
        <v>0</v>
      </c>
      <c r="S74" s="5">
        <f t="shared" si="11"/>
        <v>0</v>
      </c>
    </row>
    <row r="75" spans="1:19">
      <c r="A75" s="3"/>
      <c r="B75" s="3"/>
      <c r="C75" s="3"/>
      <c r="D75" s="3"/>
      <c r="E75" s="3"/>
      <c r="F75" s="3"/>
      <c r="G75" s="3"/>
      <c r="H75" s="4"/>
      <c r="I75" s="3"/>
      <c r="J75" s="3"/>
      <c r="K75" s="3"/>
      <c r="L75" s="5">
        <f t="shared" si="8"/>
        <v>0</v>
      </c>
      <c r="M75" s="3"/>
      <c r="N75" s="3"/>
      <c r="O75" s="5">
        <f t="shared" si="9"/>
        <v>0</v>
      </c>
      <c r="P75" s="3"/>
      <c r="Q75" s="3"/>
      <c r="R75" s="5">
        <f t="shared" si="10"/>
        <v>0</v>
      </c>
      <c r="S75" s="5">
        <f t="shared" si="11"/>
        <v>0</v>
      </c>
    </row>
    <row r="76" spans="1:19">
      <c r="A76" s="3"/>
      <c r="B76" s="3"/>
      <c r="C76" s="3"/>
      <c r="D76" s="3"/>
      <c r="E76" s="3"/>
      <c r="F76" s="3"/>
      <c r="G76" s="3"/>
      <c r="H76" s="4"/>
      <c r="I76" s="3"/>
      <c r="J76" s="3"/>
      <c r="K76" s="3"/>
      <c r="L76" s="5">
        <f t="shared" si="8"/>
        <v>0</v>
      </c>
      <c r="M76" s="3"/>
      <c r="N76" s="3"/>
      <c r="O76" s="5">
        <f t="shared" si="9"/>
        <v>0</v>
      </c>
      <c r="P76" s="3"/>
      <c r="Q76" s="3"/>
      <c r="R76" s="5">
        <f t="shared" si="10"/>
        <v>0</v>
      </c>
      <c r="S76" s="5">
        <f t="shared" si="11"/>
        <v>0</v>
      </c>
    </row>
    <row r="77" spans="1:19">
      <c r="A77" s="3"/>
      <c r="B77" s="3"/>
      <c r="C77" s="3"/>
      <c r="D77" s="3"/>
      <c r="E77" s="3"/>
      <c r="F77" s="3"/>
      <c r="G77" s="3"/>
      <c r="H77" s="4"/>
      <c r="I77" s="3"/>
      <c r="J77" s="3"/>
      <c r="K77" s="3"/>
      <c r="L77" s="5">
        <f t="shared" si="8"/>
        <v>0</v>
      </c>
      <c r="M77" s="3"/>
      <c r="N77" s="3"/>
      <c r="O77" s="5">
        <f t="shared" si="9"/>
        <v>0</v>
      </c>
      <c r="P77" s="3"/>
      <c r="Q77" s="3"/>
      <c r="R77" s="5">
        <f t="shared" si="10"/>
        <v>0</v>
      </c>
      <c r="S77" s="5">
        <f t="shared" si="11"/>
        <v>0</v>
      </c>
    </row>
    <row r="78" spans="1:19">
      <c r="A78" s="3"/>
      <c r="B78" s="3"/>
      <c r="C78" s="3"/>
      <c r="D78" s="3"/>
      <c r="E78" s="3"/>
      <c r="F78" s="3"/>
      <c r="G78" s="3"/>
      <c r="H78" s="4"/>
      <c r="I78" s="3"/>
      <c r="J78" s="3"/>
      <c r="K78" s="3"/>
      <c r="L78" s="5">
        <f t="shared" si="8"/>
        <v>0</v>
      </c>
      <c r="M78" s="3"/>
      <c r="N78" s="3"/>
      <c r="O78" s="5">
        <f t="shared" si="9"/>
        <v>0</v>
      </c>
      <c r="P78" s="3"/>
      <c r="Q78" s="3"/>
      <c r="R78" s="5">
        <f t="shared" si="10"/>
        <v>0</v>
      </c>
      <c r="S78" s="5">
        <f t="shared" si="11"/>
        <v>0</v>
      </c>
    </row>
    <row r="79" spans="1:19">
      <c r="A79" s="3"/>
      <c r="B79" s="3"/>
      <c r="C79" s="3"/>
      <c r="D79" s="3"/>
      <c r="E79" s="3"/>
      <c r="F79" s="3"/>
      <c r="G79" s="3"/>
      <c r="H79" s="4"/>
      <c r="I79" s="3"/>
      <c r="J79" s="3"/>
      <c r="K79" s="3"/>
      <c r="L79" s="5">
        <f t="shared" si="8"/>
        <v>0</v>
      </c>
      <c r="M79" s="3"/>
      <c r="N79" s="3"/>
      <c r="O79" s="5">
        <f t="shared" si="9"/>
        <v>0</v>
      </c>
      <c r="P79" s="3"/>
      <c r="Q79" s="3"/>
      <c r="R79" s="5">
        <f t="shared" si="10"/>
        <v>0</v>
      </c>
      <c r="S79" s="5">
        <f t="shared" si="11"/>
        <v>0</v>
      </c>
    </row>
    <row r="80" spans="1:19">
      <c r="A80" s="3"/>
      <c r="B80" s="3"/>
      <c r="C80" s="3"/>
      <c r="D80" s="3"/>
      <c r="E80" s="3"/>
      <c r="F80" s="3"/>
      <c r="G80" s="3"/>
      <c r="H80" s="4"/>
      <c r="I80" s="3"/>
      <c r="J80" s="3"/>
      <c r="K80" s="3"/>
      <c r="L80" s="5">
        <f t="shared" si="8"/>
        <v>0</v>
      </c>
      <c r="M80" s="3"/>
      <c r="N80" s="3"/>
      <c r="O80" s="5">
        <f t="shared" si="9"/>
        <v>0</v>
      </c>
      <c r="P80" s="3"/>
      <c r="Q80" s="3"/>
      <c r="R80" s="5">
        <f t="shared" si="10"/>
        <v>0</v>
      </c>
      <c r="S80" s="5">
        <f t="shared" si="11"/>
        <v>0</v>
      </c>
    </row>
    <row r="81" spans="1:19">
      <c r="A81" s="3"/>
      <c r="B81" s="3"/>
      <c r="C81" s="3"/>
      <c r="D81" s="3"/>
      <c r="E81" s="3"/>
      <c r="F81" s="3"/>
      <c r="G81" s="3"/>
      <c r="H81" s="4"/>
      <c r="I81" s="3"/>
      <c r="J81" s="3"/>
      <c r="K81" s="3"/>
      <c r="L81" s="5">
        <f t="shared" si="8"/>
        <v>0</v>
      </c>
      <c r="M81" s="3"/>
      <c r="N81" s="3"/>
      <c r="O81" s="5">
        <f t="shared" si="9"/>
        <v>0</v>
      </c>
      <c r="P81" s="3"/>
      <c r="Q81" s="3"/>
      <c r="R81" s="5">
        <f t="shared" si="10"/>
        <v>0</v>
      </c>
      <c r="S81" s="5">
        <f t="shared" si="11"/>
        <v>0</v>
      </c>
    </row>
    <row r="82" spans="1:19">
      <c r="A82" s="3"/>
      <c r="B82" s="3"/>
      <c r="C82" s="3"/>
      <c r="D82" s="3"/>
      <c r="E82" s="3"/>
      <c r="F82" s="3"/>
      <c r="G82" s="3"/>
      <c r="H82" s="4"/>
      <c r="I82" s="3"/>
      <c r="J82" s="3"/>
      <c r="K82" s="3"/>
      <c r="L82" s="5">
        <f t="shared" si="8"/>
        <v>0</v>
      </c>
      <c r="M82" s="3"/>
      <c r="N82" s="3"/>
      <c r="O82" s="5">
        <f t="shared" si="9"/>
        <v>0</v>
      </c>
      <c r="P82" s="3"/>
      <c r="Q82" s="3"/>
      <c r="R82" s="5">
        <f t="shared" si="10"/>
        <v>0</v>
      </c>
      <c r="S82" s="5">
        <f t="shared" si="11"/>
        <v>0</v>
      </c>
    </row>
    <row r="83" spans="1:19">
      <c r="A83" s="3"/>
      <c r="B83" s="3"/>
      <c r="C83" s="3"/>
      <c r="D83" s="3"/>
      <c r="E83" s="3"/>
      <c r="F83" s="3"/>
      <c r="G83" s="3"/>
      <c r="H83" s="4"/>
      <c r="I83" s="3"/>
      <c r="J83" s="3"/>
      <c r="K83" s="3"/>
      <c r="L83" s="5">
        <f t="shared" si="8"/>
        <v>0</v>
      </c>
      <c r="M83" s="3"/>
      <c r="N83" s="3"/>
      <c r="O83" s="5">
        <f t="shared" si="9"/>
        <v>0</v>
      </c>
      <c r="P83" s="3"/>
      <c r="Q83" s="3"/>
      <c r="R83" s="5">
        <f t="shared" si="10"/>
        <v>0</v>
      </c>
      <c r="S83" s="5">
        <f t="shared" si="11"/>
        <v>0</v>
      </c>
    </row>
    <row r="84" spans="1:19">
      <c r="A84" s="3"/>
      <c r="B84" s="3"/>
      <c r="C84" s="3"/>
      <c r="D84" s="3"/>
      <c r="E84" s="3"/>
      <c r="F84" s="3"/>
      <c r="G84" s="3"/>
      <c r="H84" s="4"/>
      <c r="I84" s="3"/>
      <c r="J84" s="3"/>
      <c r="K84" s="3"/>
      <c r="L84" s="5">
        <f t="shared" si="8"/>
        <v>0</v>
      </c>
      <c r="M84" s="3"/>
      <c r="N84" s="3"/>
      <c r="O84" s="5">
        <f t="shared" si="9"/>
        <v>0</v>
      </c>
      <c r="P84" s="3"/>
      <c r="Q84" s="3"/>
      <c r="R84" s="5">
        <f t="shared" si="10"/>
        <v>0</v>
      </c>
      <c r="S84" s="5">
        <f t="shared" si="11"/>
        <v>0</v>
      </c>
    </row>
    <row r="85" spans="1:19">
      <c r="A85" s="3"/>
      <c r="B85" s="3"/>
      <c r="C85" s="3"/>
      <c r="D85" s="3"/>
      <c r="E85" s="3"/>
      <c r="F85" s="3"/>
      <c r="G85" s="3"/>
      <c r="H85" s="4"/>
      <c r="I85" s="3"/>
      <c r="J85" s="3"/>
      <c r="K85" s="3"/>
      <c r="L85" s="5">
        <f t="shared" ref="L85:L116" si="12">I85-(J85*K85)</f>
        <v>0</v>
      </c>
      <c r="M85" s="3"/>
      <c r="N85" s="3"/>
      <c r="O85" s="5">
        <f t="shared" ref="O85:O116" si="13">L85-(M85*N85)</f>
        <v>0</v>
      </c>
      <c r="P85" s="3"/>
      <c r="Q85" s="3"/>
      <c r="R85" s="5">
        <f t="shared" ref="R85:R116" si="14">O85-(P85*Q85)</f>
        <v>0</v>
      </c>
      <c r="S85" s="5">
        <f t="shared" ref="S85:S116" si="15">IF(AND(A85&lt;&gt;"",OR(B85="",C85="",H85="")),1,0)+IF(AND(A85&lt;&gt;"",D85=""),1,0)+IF(AND(D85="Yes",OR(G85="",E85&lt;&gt;"",F85&lt;&gt;"")),1,0)+IF(AND(D85="No",OR(G85&lt;&gt;"",E85="")),1,0)+IF(R85&lt;&gt;0,1,0)</f>
        <v>0</v>
      </c>
    </row>
    <row r="86" spans="1:19">
      <c r="A86" s="3"/>
      <c r="B86" s="3"/>
      <c r="C86" s="3"/>
      <c r="D86" s="3"/>
      <c r="E86" s="3"/>
      <c r="F86" s="3"/>
      <c r="G86" s="3"/>
      <c r="H86" s="4"/>
      <c r="I86" s="3"/>
      <c r="J86" s="3"/>
      <c r="K86" s="3"/>
      <c r="L86" s="5">
        <f t="shared" si="12"/>
        <v>0</v>
      </c>
      <c r="M86" s="3"/>
      <c r="N86" s="3"/>
      <c r="O86" s="5">
        <f t="shared" si="13"/>
        <v>0</v>
      </c>
      <c r="P86" s="3"/>
      <c r="Q86" s="3"/>
      <c r="R86" s="5">
        <f t="shared" si="14"/>
        <v>0</v>
      </c>
      <c r="S86" s="5">
        <f t="shared" si="15"/>
        <v>0</v>
      </c>
    </row>
    <row r="87" spans="1:19">
      <c r="A87" s="3"/>
      <c r="B87" s="3"/>
      <c r="C87" s="3"/>
      <c r="D87" s="3"/>
      <c r="E87" s="3"/>
      <c r="F87" s="3"/>
      <c r="G87" s="3"/>
      <c r="H87" s="4"/>
      <c r="I87" s="3"/>
      <c r="J87" s="3"/>
      <c r="K87" s="3"/>
      <c r="L87" s="5">
        <f t="shared" si="12"/>
        <v>0</v>
      </c>
      <c r="M87" s="3"/>
      <c r="N87" s="3"/>
      <c r="O87" s="5">
        <f t="shared" si="13"/>
        <v>0</v>
      </c>
      <c r="P87" s="3"/>
      <c r="Q87" s="3"/>
      <c r="R87" s="5">
        <f t="shared" si="14"/>
        <v>0</v>
      </c>
      <c r="S87" s="5">
        <f t="shared" si="15"/>
        <v>0</v>
      </c>
    </row>
    <row r="88" spans="1:19">
      <c r="A88" s="3"/>
      <c r="B88" s="3"/>
      <c r="C88" s="3"/>
      <c r="D88" s="3"/>
      <c r="E88" s="3"/>
      <c r="F88" s="3"/>
      <c r="G88" s="3"/>
      <c r="H88" s="4"/>
      <c r="I88" s="3"/>
      <c r="J88" s="3"/>
      <c r="K88" s="3"/>
      <c r="L88" s="5">
        <f t="shared" si="12"/>
        <v>0</v>
      </c>
      <c r="M88" s="3"/>
      <c r="N88" s="3"/>
      <c r="O88" s="5">
        <f t="shared" si="13"/>
        <v>0</v>
      </c>
      <c r="P88" s="3"/>
      <c r="Q88" s="3"/>
      <c r="R88" s="5">
        <f t="shared" si="14"/>
        <v>0</v>
      </c>
      <c r="S88" s="5">
        <f t="shared" si="15"/>
        <v>0</v>
      </c>
    </row>
    <row r="89" spans="1:19">
      <c r="A89" s="3"/>
      <c r="B89" s="3"/>
      <c r="C89" s="3"/>
      <c r="D89" s="3"/>
      <c r="E89" s="3"/>
      <c r="F89" s="3"/>
      <c r="G89" s="3"/>
      <c r="H89" s="4"/>
      <c r="I89" s="3"/>
      <c r="J89" s="3"/>
      <c r="K89" s="3"/>
      <c r="L89" s="5">
        <f t="shared" si="12"/>
        <v>0</v>
      </c>
      <c r="M89" s="3"/>
      <c r="N89" s="3"/>
      <c r="O89" s="5">
        <f t="shared" si="13"/>
        <v>0</v>
      </c>
      <c r="P89" s="3"/>
      <c r="Q89" s="3"/>
      <c r="R89" s="5">
        <f t="shared" si="14"/>
        <v>0</v>
      </c>
      <c r="S89" s="5">
        <f t="shared" si="15"/>
        <v>0</v>
      </c>
    </row>
    <row r="90" spans="1:19">
      <c r="A90" s="3"/>
      <c r="B90" s="3"/>
      <c r="C90" s="3"/>
      <c r="D90" s="3"/>
      <c r="E90" s="3"/>
      <c r="F90" s="3"/>
      <c r="G90" s="3"/>
      <c r="H90" s="4"/>
      <c r="I90" s="3"/>
      <c r="J90" s="3"/>
      <c r="K90" s="3"/>
      <c r="L90" s="5">
        <f t="shared" si="12"/>
        <v>0</v>
      </c>
      <c r="M90" s="3"/>
      <c r="N90" s="3"/>
      <c r="O90" s="5">
        <f t="shared" si="13"/>
        <v>0</v>
      </c>
      <c r="P90" s="3"/>
      <c r="Q90" s="3"/>
      <c r="R90" s="5">
        <f t="shared" si="14"/>
        <v>0</v>
      </c>
      <c r="S90" s="5">
        <f t="shared" si="15"/>
        <v>0</v>
      </c>
    </row>
    <row r="91" spans="1:19">
      <c r="A91" s="3"/>
      <c r="B91" s="3"/>
      <c r="C91" s="3"/>
      <c r="D91" s="3"/>
      <c r="E91" s="3"/>
      <c r="F91" s="3"/>
      <c r="G91" s="3"/>
      <c r="H91" s="4"/>
      <c r="I91" s="3"/>
      <c r="J91" s="3"/>
      <c r="K91" s="3"/>
      <c r="L91" s="5">
        <f t="shared" si="12"/>
        <v>0</v>
      </c>
      <c r="M91" s="3"/>
      <c r="N91" s="3"/>
      <c r="O91" s="5">
        <f t="shared" si="13"/>
        <v>0</v>
      </c>
      <c r="P91" s="3"/>
      <c r="Q91" s="3"/>
      <c r="R91" s="5">
        <f t="shared" si="14"/>
        <v>0</v>
      </c>
      <c r="S91" s="5">
        <f t="shared" si="15"/>
        <v>0</v>
      </c>
    </row>
    <row r="92" spans="1:19">
      <c r="A92" s="3"/>
      <c r="B92" s="3"/>
      <c r="C92" s="3"/>
      <c r="D92" s="3"/>
      <c r="E92" s="3"/>
      <c r="F92" s="3"/>
      <c r="G92" s="3"/>
      <c r="H92" s="4"/>
      <c r="I92" s="3"/>
      <c r="J92" s="3"/>
      <c r="K92" s="3"/>
      <c r="L92" s="5">
        <f t="shared" si="12"/>
        <v>0</v>
      </c>
      <c r="M92" s="3"/>
      <c r="N92" s="3"/>
      <c r="O92" s="5">
        <f t="shared" si="13"/>
        <v>0</v>
      </c>
      <c r="P92" s="3"/>
      <c r="Q92" s="3"/>
      <c r="R92" s="5">
        <f t="shared" si="14"/>
        <v>0</v>
      </c>
      <c r="S92" s="5">
        <f t="shared" si="15"/>
        <v>0</v>
      </c>
    </row>
    <row r="93" spans="1:19">
      <c r="A93" s="3"/>
      <c r="B93" s="3"/>
      <c r="C93" s="3"/>
      <c r="D93" s="3"/>
      <c r="E93" s="3"/>
      <c r="F93" s="3"/>
      <c r="G93" s="3"/>
      <c r="H93" s="4"/>
      <c r="I93" s="3"/>
      <c r="J93" s="3"/>
      <c r="K93" s="3"/>
      <c r="L93" s="5">
        <f t="shared" si="12"/>
        <v>0</v>
      </c>
      <c r="M93" s="3"/>
      <c r="N93" s="3"/>
      <c r="O93" s="5">
        <f t="shared" si="13"/>
        <v>0</v>
      </c>
      <c r="P93" s="3"/>
      <c r="Q93" s="3"/>
      <c r="R93" s="5">
        <f t="shared" si="14"/>
        <v>0</v>
      </c>
      <c r="S93" s="5">
        <f t="shared" si="15"/>
        <v>0</v>
      </c>
    </row>
    <row r="94" spans="1:19">
      <c r="A94" s="3"/>
      <c r="B94" s="3"/>
      <c r="C94" s="3"/>
      <c r="D94" s="3"/>
      <c r="E94" s="3"/>
      <c r="F94" s="3"/>
      <c r="G94" s="3"/>
      <c r="H94" s="4"/>
      <c r="I94" s="3"/>
      <c r="J94" s="3"/>
      <c r="K94" s="3"/>
      <c r="L94" s="5">
        <f t="shared" si="12"/>
        <v>0</v>
      </c>
      <c r="M94" s="3"/>
      <c r="N94" s="3"/>
      <c r="O94" s="5">
        <f t="shared" si="13"/>
        <v>0</v>
      </c>
      <c r="P94" s="3"/>
      <c r="Q94" s="3"/>
      <c r="R94" s="5">
        <f t="shared" si="14"/>
        <v>0</v>
      </c>
      <c r="S94" s="5">
        <f t="shared" si="15"/>
        <v>0</v>
      </c>
    </row>
    <row r="95" spans="1:19">
      <c r="A95" s="3"/>
      <c r="B95" s="3"/>
      <c r="C95" s="3"/>
      <c r="D95" s="3"/>
      <c r="E95" s="3"/>
      <c r="F95" s="3"/>
      <c r="G95" s="3"/>
      <c r="H95" s="4"/>
      <c r="I95" s="3"/>
      <c r="J95" s="3"/>
      <c r="K95" s="3"/>
      <c r="L95" s="5">
        <f t="shared" si="12"/>
        <v>0</v>
      </c>
      <c r="M95" s="3"/>
      <c r="N95" s="3"/>
      <c r="O95" s="5">
        <f t="shared" si="13"/>
        <v>0</v>
      </c>
      <c r="P95" s="3"/>
      <c r="Q95" s="3"/>
      <c r="R95" s="5">
        <f t="shared" si="14"/>
        <v>0</v>
      </c>
      <c r="S95" s="5">
        <f t="shared" si="15"/>
        <v>0</v>
      </c>
    </row>
    <row r="96" spans="1:19">
      <c r="A96" s="3"/>
      <c r="B96" s="3"/>
      <c r="C96" s="3"/>
      <c r="D96" s="3"/>
      <c r="E96" s="3"/>
      <c r="F96" s="3"/>
      <c r="G96" s="3"/>
      <c r="H96" s="4"/>
      <c r="I96" s="3"/>
      <c r="J96" s="3"/>
      <c r="K96" s="3"/>
      <c r="L96" s="5">
        <f t="shared" si="12"/>
        <v>0</v>
      </c>
      <c r="M96" s="3"/>
      <c r="N96" s="3"/>
      <c r="O96" s="5">
        <f t="shared" si="13"/>
        <v>0</v>
      </c>
      <c r="P96" s="3"/>
      <c r="Q96" s="3"/>
      <c r="R96" s="5">
        <f t="shared" si="14"/>
        <v>0</v>
      </c>
      <c r="S96" s="5">
        <f t="shared" si="15"/>
        <v>0</v>
      </c>
    </row>
    <row r="97" spans="1:19">
      <c r="A97" s="3"/>
      <c r="B97" s="3"/>
      <c r="C97" s="3"/>
      <c r="D97" s="3"/>
      <c r="E97" s="3"/>
      <c r="F97" s="3"/>
      <c r="G97" s="3"/>
      <c r="H97" s="4"/>
      <c r="I97" s="3"/>
      <c r="J97" s="3"/>
      <c r="K97" s="3"/>
      <c r="L97" s="5">
        <f t="shared" si="12"/>
        <v>0</v>
      </c>
      <c r="M97" s="3"/>
      <c r="N97" s="3"/>
      <c r="O97" s="5">
        <f t="shared" si="13"/>
        <v>0</v>
      </c>
      <c r="P97" s="3"/>
      <c r="Q97" s="3"/>
      <c r="R97" s="5">
        <f t="shared" si="14"/>
        <v>0</v>
      </c>
      <c r="S97" s="5">
        <f t="shared" si="15"/>
        <v>0</v>
      </c>
    </row>
    <row r="98" spans="1:19">
      <c r="A98" s="3"/>
      <c r="B98" s="3"/>
      <c r="C98" s="3"/>
      <c r="D98" s="3"/>
      <c r="E98" s="3"/>
      <c r="F98" s="3"/>
      <c r="G98" s="3"/>
      <c r="H98" s="4"/>
      <c r="I98" s="3"/>
      <c r="J98" s="3"/>
      <c r="K98" s="3"/>
      <c r="L98" s="5">
        <f t="shared" si="12"/>
        <v>0</v>
      </c>
      <c r="M98" s="3"/>
      <c r="N98" s="3"/>
      <c r="O98" s="5">
        <f t="shared" si="13"/>
        <v>0</v>
      </c>
      <c r="P98" s="3"/>
      <c r="Q98" s="3"/>
      <c r="R98" s="5">
        <f t="shared" si="14"/>
        <v>0</v>
      </c>
      <c r="S98" s="5">
        <f t="shared" si="15"/>
        <v>0</v>
      </c>
    </row>
    <row r="99" spans="1:19">
      <c r="A99" s="3"/>
      <c r="B99" s="3"/>
      <c r="C99" s="3"/>
      <c r="D99" s="3"/>
      <c r="E99" s="3"/>
      <c r="F99" s="3"/>
      <c r="G99" s="3"/>
      <c r="H99" s="4"/>
      <c r="I99" s="3"/>
      <c r="J99" s="3"/>
      <c r="K99" s="3"/>
      <c r="L99" s="5">
        <f t="shared" si="12"/>
        <v>0</v>
      </c>
      <c r="M99" s="3"/>
      <c r="N99" s="3"/>
      <c r="O99" s="5">
        <f t="shared" si="13"/>
        <v>0</v>
      </c>
      <c r="P99" s="3"/>
      <c r="Q99" s="3"/>
      <c r="R99" s="5">
        <f t="shared" si="14"/>
        <v>0</v>
      </c>
      <c r="S99" s="5">
        <f t="shared" si="15"/>
        <v>0</v>
      </c>
    </row>
    <row r="100" spans="1:19">
      <c r="A100" s="3"/>
      <c r="B100" s="3"/>
      <c r="C100" s="3"/>
      <c r="D100" s="3"/>
      <c r="E100" s="3"/>
      <c r="F100" s="3"/>
      <c r="G100" s="3"/>
      <c r="H100" s="4"/>
      <c r="I100" s="3"/>
      <c r="J100" s="3"/>
      <c r="K100" s="3"/>
      <c r="L100" s="5">
        <f t="shared" si="12"/>
        <v>0</v>
      </c>
      <c r="M100" s="3"/>
      <c r="N100" s="3"/>
      <c r="O100" s="5">
        <f t="shared" si="13"/>
        <v>0</v>
      </c>
      <c r="P100" s="3"/>
      <c r="Q100" s="3"/>
      <c r="R100" s="5">
        <f t="shared" si="14"/>
        <v>0</v>
      </c>
      <c r="S100" s="5">
        <f t="shared" si="15"/>
        <v>0</v>
      </c>
    </row>
    <row r="101" spans="1:19">
      <c r="A101" s="3"/>
      <c r="B101" s="3"/>
      <c r="C101" s="3"/>
      <c r="D101" s="3"/>
      <c r="E101" s="3"/>
      <c r="F101" s="3"/>
      <c r="G101" s="3"/>
      <c r="H101" s="4"/>
      <c r="I101" s="3"/>
      <c r="J101" s="3"/>
      <c r="K101" s="3"/>
      <c r="L101" s="5">
        <f t="shared" si="12"/>
        <v>0</v>
      </c>
      <c r="M101" s="3"/>
      <c r="N101" s="3"/>
      <c r="O101" s="5">
        <f t="shared" si="13"/>
        <v>0</v>
      </c>
      <c r="P101" s="3"/>
      <c r="Q101" s="3"/>
      <c r="R101" s="5">
        <f t="shared" si="14"/>
        <v>0</v>
      </c>
      <c r="S101" s="5">
        <f t="shared" si="15"/>
        <v>0</v>
      </c>
    </row>
    <row r="102" spans="1:19">
      <c r="A102" s="3"/>
      <c r="B102" s="3"/>
      <c r="C102" s="3"/>
      <c r="D102" s="3"/>
      <c r="E102" s="3"/>
      <c r="F102" s="3"/>
      <c r="G102" s="3"/>
      <c r="H102" s="4"/>
      <c r="I102" s="3"/>
      <c r="J102" s="3"/>
      <c r="K102" s="3"/>
      <c r="L102" s="5">
        <f t="shared" si="12"/>
        <v>0</v>
      </c>
      <c r="M102" s="3"/>
      <c r="N102" s="3"/>
      <c r="O102" s="5">
        <f t="shared" si="13"/>
        <v>0</v>
      </c>
      <c r="P102" s="3"/>
      <c r="Q102" s="3"/>
      <c r="R102" s="5">
        <f t="shared" si="14"/>
        <v>0</v>
      </c>
      <c r="S102" s="5">
        <f t="shared" si="15"/>
        <v>0</v>
      </c>
    </row>
    <row r="103" spans="1:19">
      <c r="A103" s="3"/>
      <c r="B103" s="3"/>
      <c r="C103" s="3"/>
      <c r="D103" s="3"/>
      <c r="E103" s="3"/>
      <c r="F103" s="3"/>
      <c r="G103" s="3"/>
      <c r="H103" s="4"/>
      <c r="I103" s="3"/>
      <c r="J103" s="3"/>
      <c r="K103" s="3"/>
      <c r="L103" s="5">
        <f t="shared" si="12"/>
        <v>0</v>
      </c>
      <c r="M103" s="3"/>
      <c r="N103" s="3"/>
      <c r="O103" s="5">
        <f t="shared" si="13"/>
        <v>0</v>
      </c>
      <c r="P103" s="3"/>
      <c r="Q103" s="3"/>
      <c r="R103" s="5">
        <f t="shared" si="14"/>
        <v>0</v>
      </c>
      <c r="S103" s="5">
        <f t="shared" si="15"/>
        <v>0</v>
      </c>
    </row>
    <row r="104" spans="1:19">
      <c r="A104" s="3"/>
      <c r="B104" s="3"/>
      <c r="C104" s="3"/>
      <c r="D104" s="3"/>
      <c r="E104" s="3"/>
      <c r="F104" s="3"/>
      <c r="G104" s="3"/>
      <c r="H104" s="4"/>
      <c r="I104" s="3"/>
      <c r="J104" s="3"/>
      <c r="K104" s="3"/>
      <c r="L104" s="5">
        <f t="shared" si="12"/>
        <v>0</v>
      </c>
      <c r="M104" s="3"/>
      <c r="N104" s="3"/>
      <c r="O104" s="5">
        <f t="shared" si="13"/>
        <v>0</v>
      </c>
      <c r="P104" s="3"/>
      <c r="Q104" s="3"/>
      <c r="R104" s="5">
        <f t="shared" si="14"/>
        <v>0</v>
      </c>
      <c r="S104" s="5">
        <f t="shared" si="15"/>
        <v>0</v>
      </c>
    </row>
    <row r="105" spans="1:19">
      <c r="A105" s="3"/>
      <c r="B105" s="3"/>
      <c r="C105" s="3"/>
      <c r="D105" s="3"/>
      <c r="E105" s="3"/>
      <c r="F105" s="3"/>
      <c r="G105" s="3"/>
      <c r="H105" s="4"/>
      <c r="I105" s="3"/>
      <c r="J105" s="3"/>
      <c r="K105" s="3"/>
      <c r="L105" s="5">
        <f t="shared" si="12"/>
        <v>0</v>
      </c>
      <c r="M105" s="3"/>
      <c r="N105" s="3"/>
      <c r="O105" s="5">
        <f t="shared" si="13"/>
        <v>0</v>
      </c>
      <c r="P105" s="3"/>
      <c r="Q105" s="3"/>
      <c r="R105" s="5">
        <f t="shared" si="14"/>
        <v>0</v>
      </c>
      <c r="S105" s="5">
        <f t="shared" si="15"/>
        <v>0</v>
      </c>
    </row>
    <row r="106" spans="1:19">
      <c r="A106" s="3"/>
      <c r="B106" s="3"/>
      <c r="C106" s="3"/>
      <c r="D106" s="3"/>
      <c r="E106" s="3"/>
      <c r="F106" s="3"/>
      <c r="G106" s="3"/>
      <c r="H106" s="4"/>
      <c r="I106" s="3"/>
      <c r="J106" s="3"/>
      <c r="K106" s="3"/>
      <c r="L106" s="5">
        <f t="shared" si="12"/>
        <v>0</v>
      </c>
      <c r="M106" s="3"/>
      <c r="N106" s="3"/>
      <c r="O106" s="5">
        <f t="shared" si="13"/>
        <v>0</v>
      </c>
      <c r="P106" s="3"/>
      <c r="Q106" s="3"/>
      <c r="R106" s="5">
        <f t="shared" si="14"/>
        <v>0</v>
      </c>
      <c r="S106" s="5">
        <f t="shared" si="15"/>
        <v>0</v>
      </c>
    </row>
    <row r="107" spans="1:19">
      <c r="A107" s="3"/>
      <c r="B107" s="3"/>
      <c r="C107" s="3"/>
      <c r="D107" s="3"/>
      <c r="E107" s="3"/>
      <c r="F107" s="3"/>
      <c r="G107" s="3"/>
      <c r="H107" s="4"/>
      <c r="I107" s="3"/>
      <c r="J107" s="3"/>
      <c r="K107" s="3"/>
      <c r="L107" s="5">
        <f t="shared" si="12"/>
        <v>0</v>
      </c>
      <c r="M107" s="3"/>
      <c r="N107" s="3"/>
      <c r="O107" s="5">
        <f t="shared" si="13"/>
        <v>0</v>
      </c>
      <c r="P107" s="3"/>
      <c r="Q107" s="3"/>
      <c r="R107" s="5">
        <f t="shared" si="14"/>
        <v>0</v>
      </c>
      <c r="S107" s="5">
        <f t="shared" si="15"/>
        <v>0</v>
      </c>
    </row>
    <row r="108" spans="1:19">
      <c r="A108" s="3"/>
      <c r="B108" s="3"/>
      <c r="C108" s="3"/>
      <c r="D108" s="3"/>
      <c r="E108" s="3"/>
      <c r="F108" s="3"/>
      <c r="G108" s="3"/>
      <c r="H108" s="4"/>
      <c r="I108" s="3"/>
      <c r="J108" s="3"/>
      <c r="K108" s="3"/>
      <c r="L108" s="5">
        <f t="shared" si="12"/>
        <v>0</v>
      </c>
      <c r="M108" s="3"/>
      <c r="N108" s="3"/>
      <c r="O108" s="5">
        <f t="shared" si="13"/>
        <v>0</v>
      </c>
      <c r="P108" s="3"/>
      <c r="Q108" s="3"/>
      <c r="R108" s="5">
        <f t="shared" si="14"/>
        <v>0</v>
      </c>
      <c r="S108" s="5">
        <f t="shared" si="15"/>
        <v>0</v>
      </c>
    </row>
    <row r="109" spans="1:19">
      <c r="A109" s="3"/>
      <c r="B109" s="3"/>
      <c r="C109" s="3"/>
      <c r="D109" s="3"/>
      <c r="E109" s="3"/>
      <c r="F109" s="3"/>
      <c r="G109" s="3"/>
      <c r="H109" s="4"/>
      <c r="I109" s="3"/>
      <c r="J109" s="3"/>
      <c r="K109" s="3"/>
      <c r="L109" s="5">
        <f t="shared" si="12"/>
        <v>0</v>
      </c>
      <c r="M109" s="3"/>
      <c r="N109" s="3"/>
      <c r="O109" s="5">
        <f t="shared" si="13"/>
        <v>0</v>
      </c>
      <c r="P109" s="3"/>
      <c r="Q109" s="3"/>
      <c r="R109" s="5">
        <f t="shared" si="14"/>
        <v>0</v>
      </c>
      <c r="S109" s="5">
        <f t="shared" si="15"/>
        <v>0</v>
      </c>
    </row>
    <row r="110" spans="1:19">
      <c r="A110" s="3"/>
      <c r="B110" s="3"/>
      <c r="C110" s="3"/>
      <c r="D110" s="3"/>
      <c r="E110" s="3"/>
      <c r="F110" s="3"/>
      <c r="G110" s="3"/>
      <c r="H110" s="4"/>
      <c r="I110" s="3"/>
      <c r="J110" s="3"/>
      <c r="K110" s="3"/>
      <c r="L110" s="5">
        <f t="shared" si="12"/>
        <v>0</v>
      </c>
      <c r="M110" s="3"/>
      <c r="N110" s="3"/>
      <c r="O110" s="5">
        <f t="shared" si="13"/>
        <v>0</v>
      </c>
      <c r="P110" s="3"/>
      <c r="Q110" s="3"/>
      <c r="R110" s="5">
        <f t="shared" si="14"/>
        <v>0</v>
      </c>
      <c r="S110" s="5">
        <f t="shared" si="15"/>
        <v>0</v>
      </c>
    </row>
    <row r="111" spans="1:19">
      <c r="A111" s="3"/>
      <c r="B111" s="3"/>
      <c r="C111" s="3"/>
      <c r="D111" s="3"/>
      <c r="E111" s="3"/>
      <c r="F111" s="3"/>
      <c r="G111" s="3"/>
      <c r="H111" s="4"/>
      <c r="I111" s="3"/>
      <c r="J111" s="3"/>
      <c r="K111" s="3"/>
      <c r="L111" s="5">
        <f t="shared" si="12"/>
        <v>0</v>
      </c>
      <c r="M111" s="3"/>
      <c r="N111" s="3"/>
      <c r="O111" s="5">
        <f t="shared" si="13"/>
        <v>0</v>
      </c>
      <c r="P111" s="3"/>
      <c r="Q111" s="3"/>
      <c r="R111" s="5">
        <f t="shared" si="14"/>
        <v>0</v>
      </c>
      <c r="S111" s="5">
        <f t="shared" si="15"/>
        <v>0</v>
      </c>
    </row>
    <row r="112" spans="1:19">
      <c r="A112" s="3"/>
      <c r="B112" s="3"/>
      <c r="C112" s="3"/>
      <c r="D112" s="3"/>
      <c r="E112" s="3"/>
      <c r="F112" s="3"/>
      <c r="G112" s="3"/>
      <c r="H112" s="4"/>
      <c r="I112" s="3"/>
      <c r="J112" s="3"/>
      <c r="K112" s="3"/>
      <c r="L112" s="5">
        <f t="shared" si="12"/>
        <v>0</v>
      </c>
      <c r="M112" s="3"/>
      <c r="N112" s="3"/>
      <c r="O112" s="5">
        <f t="shared" si="13"/>
        <v>0</v>
      </c>
      <c r="P112" s="3"/>
      <c r="Q112" s="3"/>
      <c r="R112" s="5">
        <f t="shared" si="14"/>
        <v>0</v>
      </c>
      <c r="S112" s="5">
        <f t="shared" si="15"/>
        <v>0</v>
      </c>
    </row>
    <row r="113" spans="1:19">
      <c r="A113" s="3"/>
      <c r="B113" s="3"/>
      <c r="C113" s="3"/>
      <c r="D113" s="3"/>
      <c r="E113" s="3"/>
      <c r="F113" s="3"/>
      <c r="G113" s="3"/>
      <c r="H113" s="4"/>
      <c r="I113" s="3"/>
      <c r="J113" s="3"/>
      <c r="K113" s="3"/>
      <c r="L113" s="5">
        <f t="shared" si="12"/>
        <v>0</v>
      </c>
      <c r="M113" s="3"/>
      <c r="N113" s="3"/>
      <c r="O113" s="5">
        <f t="shared" si="13"/>
        <v>0</v>
      </c>
      <c r="P113" s="3"/>
      <c r="Q113" s="3"/>
      <c r="R113" s="5">
        <f t="shared" si="14"/>
        <v>0</v>
      </c>
      <c r="S113" s="5">
        <f t="shared" si="15"/>
        <v>0</v>
      </c>
    </row>
    <row r="114" spans="1:19">
      <c r="A114" s="3"/>
      <c r="B114" s="3"/>
      <c r="C114" s="3"/>
      <c r="D114" s="3"/>
      <c r="E114" s="3"/>
      <c r="F114" s="3"/>
      <c r="G114" s="3"/>
      <c r="H114" s="4"/>
      <c r="I114" s="3"/>
      <c r="J114" s="3"/>
      <c r="K114" s="3"/>
      <c r="L114" s="5">
        <f t="shared" si="12"/>
        <v>0</v>
      </c>
      <c r="M114" s="3"/>
      <c r="N114" s="3"/>
      <c r="O114" s="5">
        <f t="shared" si="13"/>
        <v>0</v>
      </c>
      <c r="P114" s="3"/>
      <c r="Q114" s="3"/>
      <c r="R114" s="5">
        <f t="shared" si="14"/>
        <v>0</v>
      </c>
      <c r="S114" s="5">
        <f t="shared" si="15"/>
        <v>0</v>
      </c>
    </row>
    <row r="115" spans="1:19">
      <c r="A115" s="3"/>
      <c r="B115" s="3"/>
      <c r="C115" s="3"/>
      <c r="D115" s="3"/>
      <c r="E115" s="3"/>
      <c r="F115" s="3"/>
      <c r="G115" s="3"/>
      <c r="H115" s="4"/>
      <c r="I115" s="3"/>
      <c r="J115" s="3"/>
      <c r="K115" s="3"/>
      <c r="L115" s="5">
        <f t="shared" si="12"/>
        <v>0</v>
      </c>
      <c r="M115" s="3"/>
      <c r="N115" s="3"/>
      <c r="O115" s="5">
        <f t="shared" si="13"/>
        <v>0</v>
      </c>
      <c r="P115" s="3"/>
      <c r="Q115" s="3"/>
      <c r="R115" s="5">
        <f t="shared" si="14"/>
        <v>0</v>
      </c>
      <c r="S115" s="5">
        <f t="shared" si="15"/>
        <v>0</v>
      </c>
    </row>
    <row r="116" spans="1:19">
      <c r="A116" s="3"/>
      <c r="B116" s="3"/>
      <c r="C116" s="3"/>
      <c r="D116" s="3"/>
      <c r="E116" s="3"/>
      <c r="F116" s="3"/>
      <c r="G116" s="3"/>
      <c r="H116" s="4"/>
      <c r="I116" s="3"/>
      <c r="J116" s="3"/>
      <c r="K116" s="3"/>
      <c r="L116" s="5">
        <f t="shared" si="12"/>
        <v>0</v>
      </c>
      <c r="M116" s="3"/>
      <c r="N116" s="3"/>
      <c r="O116" s="5">
        <f t="shared" si="13"/>
        <v>0</v>
      </c>
      <c r="P116" s="3"/>
      <c r="Q116" s="3"/>
      <c r="R116" s="5">
        <f t="shared" si="14"/>
        <v>0</v>
      </c>
      <c r="S116" s="5">
        <f t="shared" si="15"/>
        <v>0</v>
      </c>
    </row>
    <row r="117" spans="1:19">
      <c r="A117" s="3"/>
      <c r="B117" s="3"/>
      <c r="C117" s="3"/>
      <c r="D117" s="3"/>
      <c r="E117" s="3"/>
      <c r="F117" s="3"/>
      <c r="G117" s="3"/>
      <c r="H117" s="4"/>
      <c r="I117" s="3"/>
      <c r="J117" s="3"/>
      <c r="K117" s="3"/>
      <c r="L117" s="5">
        <f t="shared" ref="L117:L148" si="16">I117-(J117*K117)</f>
        <v>0</v>
      </c>
      <c r="M117" s="3"/>
      <c r="N117" s="3"/>
      <c r="O117" s="5">
        <f t="shared" ref="O117:O148" si="17">L117-(M117*N117)</f>
        <v>0</v>
      </c>
      <c r="P117" s="3"/>
      <c r="Q117" s="3"/>
      <c r="R117" s="5">
        <f t="shared" ref="R117:R148" si="18">O117-(P117*Q117)</f>
        <v>0</v>
      </c>
      <c r="S117" s="5">
        <f t="shared" ref="S117:S148" si="19">IF(AND(A117&lt;&gt;"",OR(B117="",C117="",H117="")),1,0)+IF(AND(A117&lt;&gt;"",D117=""),1,0)+IF(AND(D117="Yes",OR(G117="",E117&lt;&gt;"",F117&lt;&gt;"")),1,0)+IF(AND(D117="No",OR(G117&lt;&gt;"",E117="")),1,0)+IF(R117&lt;&gt;0,1,0)</f>
        <v>0</v>
      </c>
    </row>
    <row r="118" spans="1:19">
      <c r="A118" s="3"/>
      <c r="B118" s="3"/>
      <c r="C118" s="3"/>
      <c r="D118" s="3"/>
      <c r="E118" s="3"/>
      <c r="F118" s="3"/>
      <c r="G118" s="3"/>
      <c r="H118" s="4"/>
      <c r="I118" s="3"/>
      <c r="J118" s="3"/>
      <c r="K118" s="3"/>
      <c r="L118" s="5">
        <f t="shared" si="16"/>
        <v>0</v>
      </c>
      <c r="M118" s="3"/>
      <c r="N118" s="3"/>
      <c r="O118" s="5">
        <f t="shared" si="17"/>
        <v>0</v>
      </c>
      <c r="P118" s="3"/>
      <c r="Q118" s="3"/>
      <c r="R118" s="5">
        <f t="shared" si="18"/>
        <v>0</v>
      </c>
      <c r="S118" s="5">
        <f t="shared" si="19"/>
        <v>0</v>
      </c>
    </row>
    <row r="119" spans="1:19">
      <c r="A119" s="3"/>
      <c r="B119" s="3"/>
      <c r="C119" s="3"/>
      <c r="D119" s="3"/>
      <c r="E119" s="3"/>
      <c r="F119" s="3"/>
      <c r="G119" s="3"/>
      <c r="H119" s="4"/>
      <c r="I119" s="3"/>
      <c r="J119" s="3"/>
      <c r="K119" s="3"/>
      <c r="L119" s="5">
        <f t="shared" si="16"/>
        <v>0</v>
      </c>
      <c r="M119" s="3"/>
      <c r="N119" s="3"/>
      <c r="O119" s="5">
        <f t="shared" si="17"/>
        <v>0</v>
      </c>
      <c r="P119" s="3"/>
      <c r="Q119" s="3"/>
      <c r="R119" s="5">
        <f t="shared" si="18"/>
        <v>0</v>
      </c>
      <c r="S119" s="5">
        <f t="shared" si="19"/>
        <v>0</v>
      </c>
    </row>
    <row r="120" spans="1:19">
      <c r="A120" s="3"/>
      <c r="B120" s="3"/>
      <c r="C120" s="3"/>
      <c r="D120" s="3"/>
      <c r="E120" s="3"/>
      <c r="F120" s="3"/>
      <c r="G120" s="3"/>
      <c r="H120" s="4"/>
      <c r="I120" s="3"/>
      <c r="J120" s="3"/>
      <c r="K120" s="3"/>
      <c r="L120" s="5">
        <f t="shared" si="16"/>
        <v>0</v>
      </c>
      <c r="M120" s="3"/>
      <c r="N120" s="3"/>
      <c r="O120" s="5">
        <f t="shared" si="17"/>
        <v>0</v>
      </c>
      <c r="P120" s="3"/>
      <c r="Q120" s="3"/>
      <c r="R120" s="5">
        <f t="shared" si="18"/>
        <v>0</v>
      </c>
      <c r="S120" s="5">
        <f t="shared" si="19"/>
        <v>0</v>
      </c>
    </row>
    <row r="121" spans="1:19">
      <c r="A121" s="3"/>
      <c r="B121" s="3"/>
      <c r="C121" s="3"/>
      <c r="D121" s="3"/>
      <c r="E121" s="3"/>
      <c r="F121" s="3"/>
      <c r="G121" s="3"/>
      <c r="H121" s="4"/>
      <c r="I121" s="3"/>
      <c r="J121" s="3"/>
      <c r="K121" s="3"/>
      <c r="L121" s="5">
        <f t="shared" si="16"/>
        <v>0</v>
      </c>
      <c r="M121" s="3"/>
      <c r="N121" s="3"/>
      <c r="O121" s="5">
        <f t="shared" si="17"/>
        <v>0</v>
      </c>
      <c r="P121" s="3"/>
      <c r="Q121" s="3"/>
      <c r="R121" s="5">
        <f t="shared" si="18"/>
        <v>0</v>
      </c>
      <c r="S121" s="5">
        <f t="shared" si="19"/>
        <v>0</v>
      </c>
    </row>
    <row r="122" spans="1:19">
      <c r="A122" s="3"/>
      <c r="B122" s="3"/>
      <c r="C122" s="3"/>
      <c r="D122" s="3"/>
      <c r="E122" s="3"/>
      <c r="F122" s="3"/>
      <c r="G122" s="3"/>
      <c r="H122" s="4"/>
      <c r="I122" s="3"/>
      <c r="J122" s="3"/>
      <c r="K122" s="3"/>
      <c r="L122" s="5">
        <f t="shared" si="16"/>
        <v>0</v>
      </c>
      <c r="M122" s="3"/>
      <c r="N122" s="3"/>
      <c r="O122" s="5">
        <f t="shared" si="17"/>
        <v>0</v>
      </c>
      <c r="P122" s="3"/>
      <c r="Q122" s="3"/>
      <c r="R122" s="5">
        <f t="shared" si="18"/>
        <v>0</v>
      </c>
      <c r="S122" s="5">
        <f t="shared" si="19"/>
        <v>0</v>
      </c>
    </row>
    <row r="123" spans="1:19">
      <c r="A123" s="3"/>
      <c r="B123" s="3"/>
      <c r="C123" s="3"/>
      <c r="D123" s="3"/>
      <c r="E123" s="3"/>
      <c r="F123" s="3"/>
      <c r="G123" s="3"/>
      <c r="H123" s="4"/>
      <c r="I123" s="3"/>
      <c r="J123" s="3"/>
      <c r="K123" s="3"/>
      <c r="L123" s="5">
        <f t="shared" si="16"/>
        <v>0</v>
      </c>
      <c r="M123" s="3"/>
      <c r="N123" s="3"/>
      <c r="O123" s="5">
        <f t="shared" si="17"/>
        <v>0</v>
      </c>
      <c r="P123" s="3"/>
      <c r="Q123" s="3"/>
      <c r="R123" s="5">
        <f t="shared" si="18"/>
        <v>0</v>
      </c>
      <c r="S123" s="5">
        <f t="shared" si="19"/>
        <v>0</v>
      </c>
    </row>
    <row r="124" spans="1:19">
      <c r="A124" s="3"/>
      <c r="B124" s="3"/>
      <c r="C124" s="3"/>
      <c r="D124" s="3"/>
      <c r="E124" s="3"/>
      <c r="F124" s="3"/>
      <c r="G124" s="3"/>
      <c r="H124" s="4"/>
      <c r="I124" s="3"/>
      <c r="J124" s="3"/>
      <c r="K124" s="3"/>
      <c r="L124" s="5">
        <f t="shared" si="16"/>
        <v>0</v>
      </c>
      <c r="M124" s="3"/>
      <c r="N124" s="3"/>
      <c r="O124" s="5">
        <f t="shared" si="17"/>
        <v>0</v>
      </c>
      <c r="P124" s="3"/>
      <c r="Q124" s="3"/>
      <c r="R124" s="5">
        <f t="shared" si="18"/>
        <v>0</v>
      </c>
      <c r="S124" s="5">
        <f t="shared" si="19"/>
        <v>0</v>
      </c>
    </row>
    <row r="125" spans="1:19">
      <c r="A125" s="3"/>
      <c r="B125" s="3"/>
      <c r="C125" s="3"/>
      <c r="D125" s="3"/>
      <c r="E125" s="3"/>
      <c r="F125" s="3"/>
      <c r="G125" s="3"/>
      <c r="H125" s="4"/>
      <c r="I125" s="3"/>
      <c r="J125" s="3"/>
      <c r="K125" s="3"/>
      <c r="L125" s="5">
        <f t="shared" si="16"/>
        <v>0</v>
      </c>
      <c r="M125" s="3"/>
      <c r="N125" s="3"/>
      <c r="O125" s="5">
        <f t="shared" si="17"/>
        <v>0</v>
      </c>
      <c r="P125" s="3"/>
      <c r="Q125" s="3"/>
      <c r="R125" s="5">
        <f t="shared" si="18"/>
        <v>0</v>
      </c>
      <c r="S125" s="5">
        <f t="shared" si="19"/>
        <v>0</v>
      </c>
    </row>
    <row r="126" spans="1:19">
      <c r="A126" s="3"/>
      <c r="B126" s="3"/>
      <c r="C126" s="3"/>
      <c r="D126" s="3"/>
      <c r="E126" s="3"/>
      <c r="F126" s="3"/>
      <c r="G126" s="3"/>
      <c r="H126" s="4"/>
      <c r="I126" s="3"/>
      <c r="J126" s="3"/>
      <c r="K126" s="3"/>
      <c r="L126" s="5">
        <f t="shared" si="16"/>
        <v>0</v>
      </c>
      <c r="M126" s="3"/>
      <c r="N126" s="3"/>
      <c r="O126" s="5">
        <f t="shared" si="17"/>
        <v>0</v>
      </c>
      <c r="P126" s="3"/>
      <c r="Q126" s="3"/>
      <c r="R126" s="5">
        <f t="shared" si="18"/>
        <v>0</v>
      </c>
      <c r="S126" s="5">
        <f t="shared" si="19"/>
        <v>0</v>
      </c>
    </row>
    <row r="127" spans="1:19">
      <c r="A127" s="3"/>
      <c r="B127" s="3"/>
      <c r="C127" s="3"/>
      <c r="D127" s="3"/>
      <c r="E127" s="3"/>
      <c r="F127" s="3"/>
      <c r="G127" s="3"/>
      <c r="H127" s="4"/>
      <c r="I127" s="3"/>
      <c r="J127" s="3"/>
      <c r="K127" s="3"/>
      <c r="L127" s="5">
        <f t="shared" si="16"/>
        <v>0</v>
      </c>
      <c r="M127" s="3"/>
      <c r="N127" s="3"/>
      <c r="O127" s="5">
        <f t="shared" si="17"/>
        <v>0</v>
      </c>
      <c r="P127" s="3"/>
      <c r="Q127" s="3"/>
      <c r="R127" s="5">
        <f t="shared" si="18"/>
        <v>0</v>
      </c>
      <c r="S127" s="5">
        <f t="shared" si="19"/>
        <v>0</v>
      </c>
    </row>
    <row r="128" spans="1:19">
      <c r="A128" s="3"/>
      <c r="B128" s="3"/>
      <c r="C128" s="3"/>
      <c r="D128" s="3"/>
      <c r="E128" s="3"/>
      <c r="F128" s="3"/>
      <c r="G128" s="3"/>
      <c r="H128" s="4"/>
      <c r="I128" s="3"/>
      <c r="J128" s="3"/>
      <c r="K128" s="3"/>
      <c r="L128" s="5">
        <f t="shared" si="16"/>
        <v>0</v>
      </c>
      <c r="M128" s="3"/>
      <c r="N128" s="3"/>
      <c r="O128" s="5">
        <f t="shared" si="17"/>
        <v>0</v>
      </c>
      <c r="P128" s="3"/>
      <c r="Q128" s="3"/>
      <c r="R128" s="5">
        <f t="shared" si="18"/>
        <v>0</v>
      </c>
      <c r="S128" s="5">
        <f t="shared" si="19"/>
        <v>0</v>
      </c>
    </row>
    <row r="129" spans="1:19">
      <c r="A129" s="3"/>
      <c r="B129" s="3"/>
      <c r="C129" s="3"/>
      <c r="D129" s="3"/>
      <c r="E129" s="3"/>
      <c r="F129" s="3"/>
      <c r="G129" s="3"/>
      <c r="H129" s="4"/>
      <c r="I129" s="3"/>
      <c r="J129" s="3"/>
      <c r="K129" s="3"/>
      <c r="L129" s="5">
        <f t="shared" si="16"/>
        <v>0</v>
      </c>
      <c r="M129" s="3"/>
      <c r="N129" s="3"/>
      <c r="O129" s="5">
        <f t="shared" si="17"/>
        <v>0</v>
      </c>
      <c r="P129" s="3"/>
      <c r="Q129" s="3"/>
      <c r="R129" s="5">
        <f t="shared" si="18"/>
        <v>0</v>
      </c>
      <c r="S129" s="5">
        <f t="shared" si="19"/>
        <v>0</v>
      </c>
    </row>
    <row r="130" spans="1:19">
      <c r="A130" s="3"/>
      <c r="B130" s="3"/>
      <c r="C130" s="3"/>
      <c r="D130" s="3"/>
      <c r="E130" s="3"/>
      <c r="F130" s="3"/>
      <c r="G130" s="3"/>
      <c r="H130" s="4"/>
      <c r="I130" s="3"/>
      <c r="J130" s="3"/>
      <c r="K130" s="3"/>
      <c r="L130" s="5">
        <f t="shared" si="16"/>
        <v>0</v>
      </c>
      <c r="M130" s="3"/>
      <c r="N130" s="3"/>
      <c r="O130" s="5">
        <f t="shared" si="17"/>
        <v>0</v>
      </c>
      <c r="P130" s="3"/>
      <c r="Q130" s="3"/>
      <c r="R130" s="5">
        <f t="shared" si="18"/>
        <v>0</v>
      </c>
      <c r="S130" s="5">
        <f t="shared" si="19"/>
        <v>0</v>
      </c>
    </row>
    <row r="131" spans="1:19">
      <c r="A131" s="3"/>
      <c r="B131" s="3"/>
      <c r="C131" s="3"/>
      <c r="D131" s="3"/>
      <c r="E131" s="3"/>
      <c r="F131" s="3"/>
      <c r="G131" s="3"/>
      <c r="H131" s="4"/>
      <c r="I131" s="3"/>
      <c r="J131" s="3"/>
      <c r="K131" s="3"/>
      <c r="L131" s="5">
        <f t="shared" si="16"/>
        <v>0</v>
      </c>
      <c r="M131" s="3"/>
      <c r="N131" s="3"/>
      <c r="O131" s="5">
        <f t="shared" si="17"/>
        <v>0</v>
      </c>
      <c r="P131" s="3"/>
      <c r="Q131" s="3"/>
      <c r="R131" s="5">
        <f t="shared" si="18"/>
        <v>0</v>
      </c>
      <c r="S131" s="5">
        <f t="shared" si="19"/>
        <v>0</v>
      </c>
    </row>
    <row r="132" spans="1:19">
      <c r="A132" s="3"/>
      <c r="B132" s="3"/>
      <c r="C132" s="3"/>
      <c r="D132" s="3"/>
      <c r="E132" s="3"/>
      <c r="F132" s="3"/>
      <c r="G132" s="3"/>
      <c r="H132" s="4"/>
      <c r="I132" s="3"/>
      <c r="J132" s="3"/>
      <c r="K132" s="3"/>
      <c r="L132" s="5">
        <f t="shared" si="16"/>
        <v>0</v>
      </c>
      <c r="M132" s="3"/>
      <c r="N132" s="3"/>
      <c r="O132" s="5">
        <f t="shared" si="17"/>
        <v>0</v>
      </c>
      <c r="P132" s="3"/>
      <c r="Q132" s="3"/>
      <c r="R132" s="5">
        <f t="shared" si="18"/>
        <v>0</v>
      </c>
      <c r="S132" s="5">
        <f t="shared" si="19"/>
        <v>0</v>
      </c>
    </row>
    <row r="133" spans="1:19">
      <c r="A133" s="3"/>
      <c r="B133" s="3"/>
      <c r="C133" s="3"/>
      <c r="D133" s="3"/>
      <c r="E133" s="3"/>
      <c r="F133" s="3"/>
      <c r="G133" s="3"/>
      <c r="H133" s="4"/>
      <c r="I133" s="3"/>
      <c r="J133" s="3"/>
      <c r="K133" s="3"/>
      <c r="L133" s="5">
        <f t="shared" si="16"/>
        <v>0</v>
      </c>
      <c r="M133" s="3"/>
      <c r="N133" s="3"/>
      <c r="O133" s="5">
        <f t="shared" si="17"/>
        <v>0</v>
      </c>
      <c r="P133" s="3"/>
      <c r="Q133" s="3"/>
      <c r="R133" s="5">
        <f t="shared" si="18"/>
        <v>0</v>
      </c>
      <c r="S133" s="5">
        <f t="shared" si="19"/>
        <v>0</v>
      </c>
    </row>
    <row r="134" spans="1:19">
      <c r="A134" s="3"/>
      <c r="B134" s="3"/>
      <c r="C134" s="3"/>
      <c r="D134" s="3"/>
      <c r="E134" s="3"/>
      <c r="F134" s="3"/>
      <c r="G134" s="3"/>
      <c r="H134" s="4"/>
      <c r="I134" s="3"/>
      <c r="J134" s="3"/>
      <c r="K134" s="3"/>
      <c r="L134" s="5">
        <f t="shared" si="16"/>
        <v>0</v>
      </c>
      <c r="M134" s="3"/>
      <c r="N134" s="3"/>
      <c r="O134" s="5">
        <f t="shared" si="17"/>
        <v>0</v>
      </c>
      <c r="P134" s="3"/>
      <c r="Q134" s="3"/>
      <c r="R134" s="5">
        <f t="shared" si="18"/>
        <v>0</v>
      </c>
      <c r="S134" s="5">
        <f t="shared" si="19"/>
        <v>0</v>
      </c>
    </row>
    <row r="135" spans="1:19">
      <c r="A135" s="3"/>
      <c r="B135" s="3"/>
      <c r="C135" s="3"/>
      <c r="D135" s="3"/>
      <c r="E135" s="3"/>
      <c r="F135" s="3"/>
      <c r="G135" s="3"/>
      <c r="H135" s="4"/>
      <c r="I135" s="3"/>
      <c r="J135" s="3"/>
      <c r="K135" s="3"/>
      <c r="L135" s="5">
        <f t="shared" si="16"/>
        <v>0</v>
      </c>
      <c r="M135" s="3"/>
      <c r="N135" s="3"/>
      <c r="O135" s="5">
        <f t="shared" si="17"/>
        <v>0</v>
      </c>
      <c r="P135" s="3"/>
      <c r="Q135" s="3"/>
      <c r="R135" s="5">
        <f t="shared" si="18"/>
        <v>0</v>
      </c>
      <c r="S135" s="5">
        <f t="shared" si="19"/>
        <v>0</v>
      </c>
    </row>
    <row r="136" spans="1:19">
      <c r="A136" s="3"/>
      <c r="B136" s="3"/>
      <c r="C136" s="3"/>
      <c r="D136" s="3"/>
      <c r="E136" s="3"/>
      <c r="F136" s="3"/>
      <c r="G136" s="3"/>
      <c r="H136" s="4"/>
      <c r="I136" s="3"/>
      <c r="J136" s="3"/>
      <c r="K136" s="3"/>
      <c r="L136" s="5">
        <f t="shared" si="16"/>
        <v>0</v>
      </c>
      <c r="M136" s="3"/>
      <c r="N136" s="3"/>
      <c r="O136" s="5">
        <f t="shared" si="17"/>
        <v>0</v>
      </c>
      <c r="P136" s="3"/>
      <c r="Q136" s="3"/>
      <c r="R136" s="5">
        <f t="shared" si="18"/>
        <v>0</v>
      </c>
      <c r="S136" s="5">
        <f t="shared" si="19"/>
        <v>0</v>
      </c>
    </row>
    <row r="137" spans="1:19">
      <c r="A137" s="3"/>
      <c r="B137" s="3"/>
      <c r="C137" s="3"/>
      <c r="D137" s="3"/>
      <c r="E137" s="3"/>
      <c r="F137" s="3"/>
      <c r="G137" s="3"/>
      <c r="H137" s="4"/>
      <c r="I137" s="3"/>
      <c r="J137" s="3"/>
      <c r="K137" s="3"/>
      <c r="L137" s="5">
        <f t="shared" si="16"/>
        <v>0</v>
      </c>
      <c r="M137" s="3"/>
      <c r="N137" s="3"/>
      <c r="O137" s="5">
        <f t="shared" si="17"/>
        <v>0</v>
      </c>
      <c r="P137" s="3"/>
      <c r="Q137" s="3"/>
      <c r="R137" s="5">
        <f t="shared" si="18"/>
        <v>0</v>
      </c>
      <c r="S137" s="5">
        <f t="shared" si="19"/>
        <v>0</v>
      </c>
    </row>
    <row r="138" spans="1:19">
      <c r="A138" s="3"/>
      <c r="B138" s="3"/>
      <c r="C138" s="3"/>
      <c r="D138" s="3"/>
      <c r="E138" s="3"/>
      <c r="F138" s="3"/>
      <c r="G138" s="3"/>
      <c r="H138" s="4"/>
      <c r="I138" s="3"/>
      <c r="J138" s="3"/>
      <c r="K138" s="3"/>
      <c r="L138" s="5">
        <f t="shared" si="16"/>
        <v>0</v>
      </c>
      <c r="M138" s="3"/>
      <c r="N138" s="3"/>
      <c r="O138" s="5">
        <f t="shared" si="17"/>
        <v>0</v>
      </c>
      <c r="P138" s="3"/>
      <c r="Q138" s="3"/>
      <c r="R138" s="5">
        <f t="shared" si="18"/>
        <v>0</v>
      </c>
      <c r="S138" s="5">
        <f t="shared" si="19"/>
        <v>0</v>
      </c>
    </row>
    <row r="139" spans="1:19">
      <c r="A139" s="3"/>
      <c r="B139" s="3"/>
      <c r="C139" s="3"/>
      <c r="D139" s="3"/>
      <c r="E139" s="3"/>
      <c r="F139" s="3"/>
      <c r="G139" s="3"/>
      <c r="H139" s="4"/>
      <c r="I139" s="3"/>
      <c r="J139" s="3"/>
      <c r="K139" s="3"/>
      <c r="L139" s="5">
        <f t="shared" si="16"/>
        <v>0</v>
      </c>
      <c r="M139" s="3"/>
      <c r="N139" s="3"/>
      <c r="O139" s="5">
        <f t="shared" si="17"/>
        <v>0</v>
      </c>
      <c r="P139" s="3"/>
      <c r="Q139" s="3"/>
      <c r="R139" s="5">
        <f t="shared" si="18"/>
        <v>0</v>
      </c>
      <c r="S139" s="5">
        <f t="shared" si="19"/>
        <v>0</v>
      </c>
    </row>
    <row r="140" spans="1:19">
      <c r="A140" s="3"/>
      <c r="B140" s="3"/>
      <c r="C140" s="3"/>
      <c r="D140" s="3"/>
      <c r="E140" s="3"/>
      <c r="F140" s="3"/>
      <c r="G140" s="3"/>
      <c r="H140" s="4"/>
      <c r="I140" s="3"/>
      <c r="J140" s="3"/>
      <c r="K140" s="3"/>
      <c r="L140" s="5">
        <f t="shared" si="16"/>
        <v>0</v>
      </c>
      <c r="M140" s="3"/>
      <c r="N140" s="3"/>
      <c r="O140" s="5">
        <f t="shared" si="17"/>
        <v>0</v>
      </c>
      <c r="P140" s="3"/>
      <c r="Q140" s="3"/>
      <c r="R140" s="5">
        <f t="shared" si="18"/>
        <v>0</v>
      </c>
      <c r="S140" s="5">
        <f t="shared" si="19"/>
        <v>0</v>
      </c>
    </row>
    <row r="141" spans="1:19">
      <c r="A141" s="3"/>
      <c r="B141" s="3"/>
      <c r="C141" s="3"/>
      <c r="D141" s="3"/>
      <c r="E141" s="3"/>
      <c r="F141" s="3"/>
      <c r="G141" s="3"/>
      <c r="H141" s="4"/>
      <c r="I141" s="3"/>
      <c r="J141" s="3"/>
      <c r="K141" s="3"/>
      <c r="L141" s="5">
        <f t="shared" si="16"/>
        <v>0</v>
      </c>
      <c r="M141" s="3"/>
      <c r="N141" s="3"/>
      <c r="O141" s="5">
        <f t="shared" si="17"/>
        <v>0</v>
      </c>
      <c r="P141" s="3"/>
      <c r="Q141" s="3"/>
      <c r="R141" s="5">
        <f t="shared" si="18"/>
        <v>0</v>
      </c>
      <c r="S141" s="5">
        <f t="shared" si="19"/>
        <v>0</v>
      </c>
    </row>
    <row r="142" spans="1:19">
      <c r="A142" s="3"/>
      <c r="B142" s="3"/>
      <c r="C142" s="3"/>
      <c r="D142" s="3"/>
      <c r="E142" s="3"/>
      <c r="F142" s="3"/>
      <c r="G142" s="3"/>
      <c r="H142" s="4"/>
      <c r="I142" s="3"/>
      <c r="J142" s="3"/>
      <c r="K142" s="3"/>
      <c r="L142" s="5">
        <f t="shared" si="16"/>
        <v>0</v>
      </c>
      <c r="M142" s="3"/>
      <c r="N142" s="3"/>
      <c r="O142" s="5">
        <f t="shared" si="17"/>
        <v>0</v>
      </c>
      <c r="P142" s="3"/>
      <c r="Q142" s="3"/>
      <c r="R142" s="5">
        <f t="shared" si="18"/>
        <v>0</v>
      </c>
      <c r="S142" s="5">
        <f t="shared" si="19"/>
        <v>0</v>
      </c>
    </row>
    <row r="143" spans="1:19">
      <c r="A143" s="3"/>
      <c r="B143" s="3"/>
      <c r="C143" s="3"/>
      <c r="D143" s="3"/>
      <c r="E143" s="3"/>
      <c r="F143" s="3"/>
      <c r="G143" s="3"/>
      <c r="H143" s="4"/>
      <c r="I143" s="3"/>
      <c r="J143" s="3"/>
      <c r="K143" s="3"/>
      <c r="L143" s="5">
        <f t="shared" si="16"/>
        <v>0</v>
      </c>
      <c r="M143" s="3"/>
      <c r="N143" s="3"/>
      <c r="O143" s="5">
        <f t="shared" si="17"/>
        <v>0</v>
      </c>
      <c r="P143" s="3"/>
      <c r="Q143" s="3"/>
      <c r="R143" s="5">
        <f t="shared" si="18"/>
        <v>0</v>
      </c>
      <c r="S143" s="5">
        <f t="shared" si="19"/>
        <v>0</v>
      </c>
    </row>
    <row r="144" spans="1:19">
      <c r="A144" s="3"/>
      <c r="B144" s="3"/>
      <c r="C144" s="3"/>
      <c r="D144" s="3"/>
      <c r="E144" s="3"/>
      <c r="F144" s="3"/>
      <c r="G144" s="3"/>
      <c r="H144" s="4"/>
      <c r="I144" s="3"/>
      <c r="J144" s="3"/>
      <c r="K144" s="3"/>
      <c r="L144" s="5">
        <f t="shared" si="16"/>
        <v>0</v>
      </c>
      <c r="M144" s="3"/>
      <c r="N144" s="3"/>
      <c r="O144" s="5">
        <f t="shared" si="17"/>
        <v>0</v>
      </c>
      <c r="P144" s="3"/>
      <c r="Q144" s="3"/>
      <c r="R144" s="5">
        <f t="shared" si="18"/>
        <v>0</v>
      </c>
      <c r="S144" s="5">
        <f t="shared" si="19"/>
        <v>0</v>
      </c>
    </row>
    <row r="145" spans="1:19">
      <c r="A145" s="3"/>
      <c r="B145" s="3"/>
      <c r="C145" s="3"/>
      <c r="D145" s="3"/>
      <c r="E145" s="3"/>
      <c r="F145" s="3"/>
      <c r="G145" s="3"/>
      <c r="H145" s="4"/>
      <c r="I145" s="3"/>
      <c r="J145" s="3"/>
      <c r="K145" s="3"/>
      <c r="L145" s="5">
        <f t="shared" si="16"/>
        <v>0</v>
      </c>
      <c r="M145" s="3"/>
      <c r="N145" s="3"/>
      <c r="O145" s="5">
        <f t="shared" si="17"/>
        <v>0</v>
      </c>
      <c r="P145" s="3"/>
      <c r="Q145" s="3"/>
      <c r="R145" s="5">
        <f t="shared" si="18"/>
        <v>0</v>
      </c>
      <c r="S145" s="5">
        <f t="shared" si="19"/>
        <v>0</v>
      </c>
    </row>
    <row r="146" spans="1:19">
      <c r="A146" s="3"/>
      <c r="B146" s="3"/>
      <c r="C146" s="3"/>
      <c r="D146" s="3"/>
      <c r="E146" s="3"/>
      <c r="F146" s="3"/>
      <c r="G146" s="3"/>
      <c r="H146" s="4"/>
      <c r="I146" s="3"/>
      <c r="J146" s="3"/>
      <c r="K146" s="3"/>
      <c r="L146" s="5">
        <f t="shared" si="16"/>
        <v>0</v>
      </c>
      <c r="M146" s="3"/>
      <c r="N146" s="3"/>
      <c r="O146" s="5">
        <f t="shared" si="17"/>
        <v>0</v>
      </c>
      <c r="P146" s="3"/>
      <c r="Q146" s="3"/>
      <c r="R146" s="5">
        <f t="shared" si="18"/>
        <v>0</v>
      </c>
      <c r="S146" s="5">
        <f t="shared" si="19"/>
        <v>0</v>
      </c>
    </row>
    <row r="147" spans="1:19">
      <c r="A147" s="3"/>
      <c r="B147" s="3"/>
      <c r="C147" s="3"/>
      <c r="D147" s="3"/>
      <c r="E147" s="3"/>
      <c r="F147" s="3"/>
      <c r="G147" s="3"/>
      <c r="H147" s="4"/>
      <c r="I147" s="3"/>
      <c r="J147" s="3"/>
      <c r="K147" s="3"/>
      <c r="L147" s="5">
        <f t="shared" si="16"/>
        <v>0</v>
      </c>
      <c r="M147" s="3"/>
      <c r="N147" s="3"/>
      <c r="O147" s="5">
        <f t="shared" si="17"/>
        <v>0</v>
      </c>
      <c r="P147" s="3"/>
      <c r="Q147" s="3"/>
      <c r="R147" s="5">
        <f t="shared" si="18"/>
        <v>0</v>
      </c>
      <c r="S147" s="5">
        <f t="shared" si="19"/>
        <v>0</v>
      </c>
    </row>
    <row r="148" spans="1:19">
      <c r="A148" s="3"/>
      <c r="B148" s="3"/>
      <c r="C148" s="3"/>
      <c r="D148" s="3"/>
      <c r="E148" s="3"/>
      <c r="F148" s="3"/>
      <c r="G148" s="3"/>
      <c r="H148" s="4"/>
      <c r="I148" s="3"/>
      <c r="J148" s="3"/>
      <c r="K148" s="3"/>
      <c r="L148" s="5">
        <f t="shared" si="16"/>
        <v>0</v>
      </c>
      <c r="M148" s="3"/>
      <c r="N148" s="3"/>
      <c r="O148" s="5">
        <f t="shared" si="17"/>
        <v>0</v>
      </c>
      <c r="P148" s="3"/>
      <c r="Q148" s="3"/>
      <c r="R148" s="5">
        <f t="shared" si="18"/>
        <v>0</v>
      </c>
      <c r="S148" s="5">
        <f t="shared" si="19"/>
        <v>0</v>
      </c>
    </row>
    <row r="149" spans="1:19">
      <c r="A149" s="3"/>
      <c r="B149" s="3"/>
      <c r="C149" s="3"/>
      <c r="D149" s="3"/>
      <c r="E149" s="3"/>
      <c r="F149" s="3"/>
      <c r="G149" s="3"/>
      <c r="H149" s="4"/>
      <c r="I149" s="3"/>
      <c r="J149" s="3"/>
      <c r="K149" s="3"/>
      <c r="L149" s="5">
        <f t="shared" ref="L149:L160" si="20">I149-(J149*K149)</f>
        <v>0</v>
      </c>
      <c r="M149" s="3"/>
      <c r="N149" s="3"/>
      <c r="O149" s="5">
        <f t="shared" ref="O149:O160" si="21">L149-(M149*N149)</f>
        <v>0</v>
      </c>
      <c r="P149" s="3"/>
      <c r="Q149" s="3"/>
      <c r="R149" s="5">
        <f t="shared" ref="R149:R160" si="22">O149-(P149*Q149)</f>
        <v>0</v>
      </c>
      <c r="S149" s="5">
        <f t="shared" ref="S149:S160" si="23">IF(AND(A149&lt;&gt;"",OR(B149="",C149="",H149="")),1,0)+IF(AND(A149&lt;&gt;"",D149=""),1,0)+IF(AND(D149="Yes",OR(G149="",E149&lt;&gt;"",F149&lt;&gt;"")),1,0)+IF(AND(D149="No",OR(G149&lt;&gt;"",E149="")),1,0)+IF(R149&lt;&gt;0,1,0)</f>
        <v>0</v>
      </c>
    </row>
    <row r="150" spans="1:19">
      <c r="A150" s="3"/>
      <c r="B150" s="3"/>
      <c r="C150" s="3"/>
      <c r="D150" s="3"/>
      <c r="E150" s="3"/>
      <c r="F150" s="3"/>
      <c r="G150" s="3"/>
      <c r="H150" s="4"/>
      <c r="I150" s="3"/>
      <c r="J150" s="3"/>
      <c r="K150" s="3"/>
      <c r="L150" s="5">
        <f t="shared" si="20"/>
        <v>0</v>
      </c>
      <c r="M150" s="3"/>
      <c r="N150" s="3"/>
      <c r="O150" s="5">
        <f t="shared" si="21"/>
        <v>0</v>
      </c>
      <c r="P150" s="3"/>
      <c r="Q150" s="3"/>
      <c r="R150" s="5">
        <f t="shared" si="22"/>
        <v>0</v>
      </c>
      <c r="S150" s="5">
        <f t="shared" si="23"/>
        <v>0</v>
      </c>
    </row>
    <row r="151" spans="1:19">
      <c r="A151" s="3"/>
      <c r="B151" s="3"/>
      <c r="C151" s="3"/>
      <c r="D151" s="3"/>
      <c r="E151" s="3"/>
      <c r="F151" s="3"/>
      <c r="G151" s="3"/>
      <c r="H151" s="4"/>
      <c r="I151" s="3"/>
      <c r="J151" s="3"/>
      <c r="K151" s="3"/>
      <c r="L151" s="5">
        <f t="shared" si="20"/>
        <v>0</v>
      </c>
      <c r="M151" s="3"/>
      <c r="N151" s="3"/>
      <c r="O151" s="5">
        <f t="shared" si="21"/>
        <v>0</v>
      </c>
      <c r="P151" s="3"/>
      <c r="Q151" s="3"/>
      <c r="R151" s="5">
        <f t="shared" si="22"/>
        <v>0</v>
      </c>
      <c r="S151" s="5">
        <f t="shared" si="23"/>
        <v>0</v>
      </c>
    </row>
    <row r="152" spans="1:19">
      <c r="A152" s="3"/>
      <c r="B152" s="3"/>
      <c r="C152" s="3"/>
      <c r="D152" s="3"/>
      <c r="E152" s="3"/>
      <c r="F152" s="3"/>
      <c r="G152" s="3"/>
      <c r="H152" s="4"/>
      <c r="I152" s="3"/>
      <c r="J152" s="3"/>
      <c r="K152" s="3"/>
      <c r="L152" s="5">
        <f t="shared" si="20"/>
        <v>0</v>
      </c>
      <c r="M152" s="3"/>
      <c r="N152" s="3"/>
      <c r="O152" s="5">
        <f t="shared" si="21"/>
        <v>0</v>
      </c>
      <c r="P152" s="3"/>
      <c r="Q152" s="3"/>
      <c r="R152" s="5">
        <f t="shared" si="22"/>
        <v>0</v>
      </c>
      <c r="S152" s="5">
        <f t="shared" si="23"/>
        <v>0</v>
      </c>
    </row>
    <row r="153" spans="1:19">
      <c r="A153" s="3"/>
      <c r="B153" s="3"/>
      <c r="C153" s="3"/>
      <c r="D153" s="3"/>
      <c r="E153" s="3"/>
      <c r="F153" s="3"/>
      <c r="G153" s="3"/>
      <c r="H153" s="4"/>
      <c r="I153" s="3"/>
      <c r="J153" s="3"/>
      <c r="K153" s="3"/>
      <c r="L153" s="5">
        <f t="shared" si="20"/>
        <v>0</v>
      </c>
      <c r="M153" s="3"/>
      <c r="N153" s="3"/>
      <c r="O153" s="5">
        <f t="shared" si="21"/>
        <v>0</v>
      </c>
      <c r="P153" s="3"/>
      <c r="Q153" s="3"/>
      <c r="R153" s="5">
        <f t="shared" si="22"/>
        <v>0</v>
      </c>
      <c r="S153" s="5">
        <f t="shared" si="23"/>
        <v>0</v>
      </c>
    </row>
    <row r="154" spans="1:19">
      <c r="A154" s="3"/>
      <c r="B154" s="3"/>
      <c r="C154" s="3"/>
      <c r="D154" s="3"/>
      <c r="E154" s="3"/>
      <c r="F154" s="3"/>
      <c r="G154" s="3"/>
      <c r="H154" s="4"/>
      <c r="I154" s="3"/>
      <c r="J154" s="3"/>
      <c r="K154" s="3"/>
      <c r="L154" s="5">
        <f t="shared" si="20"/>
        <v>0</v>
      </c>
      <c r="M154" s="3"/>
      <c r="N154" s="3"/>
      <c r="O154" s="5">
        <f t="shared" si="21"/>
        <v>0</v>
      </c>
      <c r="P154" s="3"/>
      <c r="Q154" s="3"/>
      <c r="R154" s="5">
        <f t="shared" si="22"/>
        <v>0</v>
      </c>
      <c r="S154" s="5">
        <f t="shared" si="23"/>
        <v>0</v>
      </c>
    </row>
    <row r="155" spans="1:19">
      <c r="A155" s="3"/>
      <c r="B155" s="3"/>
      <c r="C155" s="3"/>
      <c r="D155" s="3"/>
      <c r="E155" s="3"/>
      <c r="F155" s="3"/>
      <c r="G155" s="3"/>
      <c r="H155" s="4"/>
      <c r="I155" s="3"/>
      <c r="J155" s="3"/>
      <c r="K155" s="3"/>
      <c r="L155" s="5">
        <f t="shared" si="20"/>
        <v>0</v>
      </c>
      <c r="M155" s="3"/>
      <c r="N155" s="3"/>
      <c r="O155" s="5">
        <f t="shared" si="21"/>
        <v>0</v>
      </c>
      <c r="P155" s="3"/>
      <c r="Q155" s="3"/>
      <c r="R155" s="5">
        <f t="shared" si="22"/>
        <v>0</v>
      </c>
      <c r="S155" s="5">
        <f t="shared" si="23"/>
        <v>0</v>
      </c>
    </row>
    <row r="156" spans="1:19">
      <c r="A156" s="3"/>
      <c r="B156" s="3"/>
      <c r="C156" s="3"/>
      <c r="D156" s="3"/>
      <c r="E156" s="3"/>
      <c r="F156" s="3"/>
      <c r="G156" s="3"/>
      <c r="H156" s="4"/>
      <c r="I156" s="3"/>
      <c r="J156" s="3"/>
      <c r="K156" s="3"/>
      <c r="L156" s="5">
        <f t="shared" si="20"/>
        <v>0</v>
      </c>
      <c r="M156" s="3"/>
      <c r="N156" s="3"/>
      <c r="O156" s="5">
        <f t="shared" si="21"/>
        <v>0</v>
      </c>
      <c r="P156" s="3"/>
      <c r="Q156" s="3"/>
      <c r="R156" s="5">
        <f t="shared" si="22"/>
        <v>0</v>
      </c>
      <c r="S156" s="5">
        <f t="shared" si="23"/>
        <v>0</v>
      </c>
    </row>
    <row r="157" spans="1:19">
      <c r="A157" s="3"/>
      <c r="B157" s="3"/>
      <c r="C157" s="3"/>
      <c r="D157" s="3"/>
      <c r="E157" s="3"/>
      <c r="F157" s="3"/>
      <c r="G157" s="3"/>
      <c r="H157" s="4"/>
      <c r="I157" s="3"/>
      <c r="J157" s="3"/>
      <c r="K157" s="3"/>
      <c r="L157" s="5">
        <f t="shared" si="20"/>
        <v>0</v>
      </c>
      <c r="M157" s="3"/>
      <c r="N157" s="3"/>
      <c r="O157" s="5">
        <f t="shared" si="21"/>
        <v>0</v>
      </c>
      <c r="P157" s="3"/>
      <c r="Q157" s="3"/>
      <c r="R157" s="5">
        <f t="shared" si="22"/>
        <v>0</v>
      </c>
      <c r="S157" s="5">
        <f t="shared" si="23"/>
        <v>0</v>
      </c>
    </row>
    <row r="158" spans="1:19">
      <c r="A158" s="3"/>
      <c r="B158" s="3"/>
      <c r="C158" s="3"/>
      <c r="D158" s="3"/>
      <c r="E158" s="3"/>
      <c r="F158" s="3"/>
      <c r="G158" s="3"/>
      <c r="H158" s="4"/>
      <c r="I158" s="3"/>
      <c r="J158" s="3"/>
      <c r="K158" s="3"/>
      <c r="L158" s="5">
        <f t="shared" si="20"/>
        <v>0</v>
      </c>
      <c r="M158" s="3"/>
      <c r="N158" s="3"/>
      <c r="O158" s="5">
        <f t="shared" si="21"/>
        <v>0</v>
      </c>
      <c r="P158" s="3"/>
      <c r="Q158" s="3"/>
      <c r="R158" s="5">
        <f t="shared" si="22"/>
        <v>0</v>
      </c>
      <c r="S158" s="5">
        <f t="shared" si="23"/>
        <v>0</v>
      </c>
    </row>
    <row r="159" spans="1:19">
      <c r="A159" s="3"/>
      <c r="B159" s="3"/>
      <c r="C159" s="3"/>
      <c r="D159" s="3"/>
      <c r="E159" s="3"/>
      <c r="F159" s="3"/>
      <c r="G159" s="3"/>
      <c r="H159" s="4"/>
      <c r="I159" s="3"/>
      <c r="J159" s="3"/>
      <c r="K159" s="3"/>
      <c r="L159" s="5">
        <f t="shared" si="20"/>
        <v>0</v>
      </c>
      <c r="M159" s="3"/>
      <c r="N159" s="3"/>
      <c r="O159" s="5">
        <f t="shared" si="21"/>
        <v>0</v>
      </c>
      <c r="P159" s="3"/>
      <c r="Q159" s="3"/>
      <c r="R159" s="5">
        <f t="shared" si="22"/>
        <v>0</v>
      </c>
      <c r="S159" s="5">
        <f t="shared" si="23"/>
        <v>0</v>
      </c>
    </row>
    <row r="160" spans="1:19">
      <c r="A160" s="3"/>
      <c r="B160" s="3"/>
      <c r="C160" s="3"/>
      <c r="D160" s="3"/>
      <c r="E160" s="3"/>
      <c r="F160" s="3"/>
      <c r="G160" s="3"/>
      <c r="H160" s="4"/>
      <c r="I160" s="3"/>
      <c r="J160" s="3"/>
      <c r="K160" s="3"/>
      <c r="L160" s="5">
        <f t="shared" si="20"/>
        <v>0</v>
      </c>
      <c r="M160" s="3"/>
      <c r="N160" s="3"/>
      <c r="O160" s="5">
        <f t="shared" si="21"/>
        <v>0</v>
      </c>
      <c r="P160" s="3"/>
      <c r="Q160" s="3"/>
      <c r="R160" s="5">
        <f t="shared" si="22"/>
        <v>0</v>
      </c>
      <c r="S160" s="5">
        <f t="shared" si="23"/>
        <v>0</v>
      </c>
    </row>
    <row r="161" spans="1:19">
      <c r="A161" s="3"/>
      <c r="B161" s="3"/>
      <c r="C161" s="3"/>
      <c r="D161" s="3"/>
      <c r="E161" s="3"/>
      <c r="F161" s="3"/>
      <c r="G161" s="3"/>
      <c r="H161" s="4"/>
      <c r="I161" s="3"/>
      <c r="J161" s="3"/>
      <c r="K161" s="3"/>
      <c r="L161" s="5">
        <f t="shared" ref="L161:L193" si="24">I161-(J161*K161)</f>
        <v>0</v>
      </c>
      <c r="M161" s="3"/>
      <c r="N161" s="3"/>
      <c r="O161" s="5">
        <f t="shared" ref="O161:O193" si="25">L161-(M161*N161)</f>
        <v>0</v>
      </c>
      <c r="P161" s="3"/>
      <c r="Q161" s="3"/>
      <c r="R161" s="5">
        <f t="shared" ref="R161:R193" si="26">O161-(P161*Q161)</f>
        <v>0</v>
      </c>
      <c r="S161" s="5">
        <f t="shared" ref="S161:S193" si="27">IF(AND(A161&lt;&gt;"",OR(B161="",C161="",H161="")),1,0)+IF(AND(A161&lt;&gt;"",D161=""),1,0)+IF(AND(D161="Yes",OR(G161="",E161&lt;&gt;"",F161&lt;&gt;"")),1,0)+IF(AND(D161="No",OR(G161&lt;&gt;"",E161="")),1,0)+IF(R161&lt;&gt;0,1,0)</f>
        <v>0</v>
      </c>
    </row>
    <row r="162" spans="1:19">
      <c r="A162" s="3"/>
      <c r="B162" s="3"/>
      <c r="C162" s="3"/>
      <c r="D162" s="3"/>
      <c r="E162" s="3"/>
      <c r="F162" s="3"/>
      <c r="G162" s="3"/>
      <c r="H162" s="4"/>
      <c r="I162" s="3"/>
      <c r="J162" s="3"/>
      <c r="K162" s="3"/>
      <c r="L162" s="5">
        <f t="shared" si="24"/>
        <v>0</v>
      </c>
      <c r="M162" s="3"/>
      <c r="N162" s="3"/>
      <c r="O162" s="5">
        <f t="shared" si="25"/>
        <v>0</v>
      </c>
      <c r="P162" s="3"/>
      <c r="Q162" s="3"/>
      <c r="R162" s="5">
        <f t="shared" si="26"/>
        <v>0</v>
      </c>
      <c r="S162" s="5">
        <f t="shared" si="27"/>
        <v>0</v>
      </c>
    </row>
    <row r="163" spans="1:19">
      <c r="A163" s="3"/>
      <c r="B163" s="3"/>
      <c r="C163" s="3"/>
      <c r="D163" s="3"/>
      <c r="E163" s="3"/>
      <c r="F163" s="3"/>
      <c r="G163" s="3"/>
      <c r="H163" s="4"/>
      <c r="I163" s="3"/>
      <c r="J163" s="3"/>
      <c r="K163" s="3"/>
      <c r="L163" s="5">
        <f t="shared" si="24"/>
        <v>0</v>
      </c>
      <c r="M163" s="3"/>
      <c r="N163" s="3"/>
      <c r="O163" s="5">
        <f t="shared" si="25"/>
        <v>0</v>
      </c>
      <c r="P163" s="3"/>
      <c r="Q163" s="3"/>
      <c r="R163" s="5">
        <f t="shared" si="26"/>
        <v>0</v>
      </c>
      <c r="S163" s="5">
        <f t="shared" si="27"/>
        <v>0</v>
      </c>
    </row>
    <row r="164" spans="1:19">
      <c r="A164" s="3"/>
      <c r="B164" s="3"/>
      <c r="C164" s="3"/>
      <c r="D164" s="3"/>
      <c r="E164" s="3"/>
      <c r="F164" s="3"/>
      <c r="G164" s="3"/>
      <c r="H164" s="4"/>
      <c r="I164" s="3"/>
      <c r="J164" s="3"/>
      <c r="K164" s="3"/>
      <c r="L164" s="5">
        <f>I164-(J164*K164)</f>
        <v>0</v>
      </c>
      <c r="M164" s="3"/>
      <c r="N164" s="3"/>
      <c r="O164" s="5">
        <f>L164-(M164*N164)</f>
        <v>0</v>
      </c>
      <c r="P164" s="3"/>
      <c r="Q164" s="3"/>
      <c r="R164" s="5">
        <f>O164-(P164*Q164)</f>
        <v>0</v>
      </c>
      <c r="S164" s="5">
        <f>IF(AND(A164&lt;&gt;"",OR(B164="",C164="",H164="")),1,0)+IF(AND(A164&lt;&gt;"",D164=""),1,0)+IF(AND(D164="Yes",OR(G164="",E164&lt;&gt;"",F164&lt;&gt;"")),1,0)+IF(AND(D164="No",OR(G164&lt;&gt;"",E164="")),1,0)+IF(R164&lt;&gt;0,1,0)</f>
        <v>0</v>
      </c>
    </row>
    <row r="165" spans="1:19">
      <c r="A165" s="3"/>
      <c r="B165" s="3"/>
      <c r="C165" s="3"/>
      <c r="D165" s="3"/>
      <c r="E165" s="3"/>
      <c r="F165" s="3"/>
      <c r="G165" s="3"/>
      <c r="H165" s="4"/>
      <c r="I165" s="3"/>
      <c r="J165" s="3"/>
      <c r="K165" s="3"/>
      <c r="L165" s="5">
        <f t="shared" si="24"/>
        <v>0</v>
      </c>
      <c r="M165" s="3"/>
      <c r="N165" s="3"/>
      <c r="O165" s="5">
        <f t="shared" si="25"/>
        <v>0</v>
      </c>
      <c r="P165" s="3"/>
      <c r="Q165" s="3"/>
      <c r="R165" s="5">
        <f t="shared" si="26"/>
        <v>0</v>
      </c>
      <c r="S165" s="5">
        <f t="shared" si="27"/>
        <v>0</v>
      </c>
    </row>
    <row r="166" spans="1:19">
      <c r="A166" s="3"/>
      <c r="B166" s="3"/>
      <c r="C166" s="3"/>
      <c r="D166" s="3"/>
      <c r="E166" s="3"/>
      <c r="F166" s="3"/>
      <c r="G166" s="3"/>
      <c r="H166" s="4"/>
      <c r="I166" s="3"/>
      <c r="J166" s="3"/>
      <c r="K166" s="3"/>
      <c r="L166" s="5">
        <f t="shared" si="24"/>
        <v>0</v>
      </c>
      <c r="M166" s="3"/>
      <c r="N166" s="3"/>
      <c r="O166" s="5">
        <f t="shared" si="25"/>
        <v>0</v>
      </c>
      <c r="P166" s="3"/>
      <c r="Q166" s="3"/>
      <c r="R166" s="5">
        <f t="shared" si="26"/>
        <v>0</v>
      </c>
      <c r="S166" s="5">
        <f t="shared" si="27"/>
        <v>0</v>
      </c>
    </row>
    <row r="167" spans="1:19">
      <c r="A167" s="3"/>
      <c r="B167" s="3"/>
      <c r="C167" s="3"/>
      <c r="D167" s="3"/>
      <c r="E167" s="3"/>
      <c r="F167" s="3"/>
      <c r="G167" s="3"/>
      <c r="H167" s="4"/>
      <c r="I167" s="3"/>
      <c r="J167" s="3"/>
      <c r="K167" s="3"/>
      <c r="L167" s="5">
        <f t="shared" si="24"/>
        <v>0</v>
      </c>
      <c r="M167" s="3"/>
      <c r="N167" s="3"/>
      <c r="O167" s="5">
        <f t="shared" si="25"/>
        <v>0</v>
      </c>
      <c r="P167" s="3"/>
      <c r="Q167" s="3"/>
      <c r="R167" s="5">
        <f t="shared" si="26"/>
        <v>0</v>
      </c>
      <c r="S167" s="5">
        <f t="shared" si="27"/>
        <v>0</v>
      </c>
    </row>
    <row r="168" spans="1:19">
      <c r="A168" s="3"/>
      <c r="B168" s="3"/>
      <c r="C168" s="3"/>
      <c r="D168" s="3"/>
      <c r="E168" s="3"/>
      <c r="F168" s="3"/>
      <c r="G168" s="3"/>
      <c r="H168" s="4"/>
      <c r="I168" s="3"/>
      <c r="J168" s="3"/>
      <c r="K168" s="3"/>
      <c r="L168" s="5">
        <f t="shared" si="24"/>
        <v>0</v>
      </c>
      <c r="M168" s="3"/>
      <c r="N168" s="3"/>
      <c r="O168" s="5">
        <f t="shared" si="25"/>
        <v>0</v>
      </c>
      <c r="P168" s="3"/>
      <c r="Q168" s="3"/>
      <c r="R168" s="5">
        <f t="shared" si="26"/>
        <v>0</v>
      </c>
      <c r="S168" s="5">
        <f t="shared" si="27"/>
        <v>0</v>
      </c>
    </row>
    <row r="169" spans="1:19">
      <c r="A169" s="3"/>
      <c r="B169" s="3"/>
      <c r="C169" s="3"/>
      <c r="D169" s="3"/>
      <c r="E169" s="3"/>
      <c r="F169" s="3"/>
      <c r="G169" s="3"/>
      <c r="H169" s="4"/>
      <c r="I169" s="3"/>
      <c r="J169" s="3"/>
      <c r="K169" s="3"/>
      <c r="L169" s="5">
        <f t="shared" si="24"/>
        <v>0</v>
      </c>
      <c r="M169" s="3"/>
      <c r="N169" s="3"/>
      <c r="O169" s="5">
        <f t="shared" si="25"/>
        <v>0</v>
      </c>
      <c r="P169" s="3"/>
      <c r="Q169" s="3"/>
      <c r="R169" s="5">
        <f t="shared" si="26"/>
        <v>0</v>
      </c>
      <c r="S169" s="5">
        <f t="shared" si="27"/>
        <v>0</v>
      </c>
    </row>
    <row r="170" spans="1:19">
      <c r="A170" s="3"/>
      <c r="B170" s="3"/>
      <c r="C170" s="3"/>
      <c r="D170" s="3"/>
      <c r="E170" s="3"/>
      <c r="F170" s="3"/>
      <c r="G170" s="3"/>
      <c r="H170" s="4"/>
      <c r="I170" s="3"/>
      <c r="J170" s="3"/>
      <c r="K170" s="3"/>
      <c r="L170" s="5">
        <f t="shared" si="24"/>
        <v>0</v>
      </c>
      <c r="M170" s="3"/>
      <c r="N170" s="3"/>
      <c r="O170" s="5">
        <f t="shared" si="25"/>
        <v>0</v>
      </c>
      <c r="P170" s="3"/>
      <c r="Q170" s="3"/>
      <c r="R170" s="5">
        <f t="shared" si="26"/>
        <v>0</v>
      </c>
      <c r="S170" s="5">
        <f t="shared" si="27"/>
        <v>0</v>
      </c>
    </row>
    <row r="171" spans="1:19">
      <c r="A171" s="3"/>
      <c r="B171" s="3"/>
      <c r="C171" s="3"/>
      <c r="D171" s="3"/>
      <c r="E171" s="3"/>
      <c r="F171" s="3"/>
      <c r="G171" s="3"/>
      <c r="H171" s="4"/>
      <c r="I171" s="3"/>
      <c r="J171" s="3"/>
      <c r="K171" s="3"/>
      <c r="L171" s="5">
        <f t="shared" si="24"/>
        <v>0</v>
      </c>
      <c r="M171" s="3"/>
      <c r="N171" s="3"/>
      <c r="O171" s="5">
        <f t="shared" si="25"/>
        <v>0</v>
      </c>
      <c r="P171" s="3"/>
      <c r="Q171" s="3"/>
      <c r="R171" s="5">
        <f t="shared" si="26"/>
        <v>0</v>
      </c>
      <c r="S171" s="5">
        <f t="shared" si="27"/>
        <v>0</v>
      </c>
    </row>
    <row r="172" spans="1:19">
      <c r="A172" s="3"/>
      <c r="B172" s="3"/>
      <c r="C172" s="3"/>
      <c r="D172" s="3"/>
      <c r="E172" s="3"/>
      <c r="F172" s="3"/>
      <c r="G172" s="3"/>
      <c r="H172" s="4"/>
      <c r="I172" s="3"/>
      <c r="J172" s="3"/>
      <c r="K172" s="3"/>
      <c r="L172" s="5">
        <f t="shared" si="24"/>
        <v>0</v>
      </c>
      <c r="M172" s="3"/>
      <c r="N172" s="3"/>
      <c r="O172" s="5">
        <f t="shared" si="25"/>
        <v>0</v>
      </c>
      <c r="P172" s="3"/>
      <c r="Q172" s="3"/>
      <c r="R172" s="5">
        <f t="shared" si="26"/>
        <v>0</v>
      </c>
      <c r="S172" s="5">
        <f t="shared" si="27"/>
        <v>0</v>
      </c>
    </row>
    <row r="173" spans="1:19">
      <c r="A173" s="3"/>
      <c r="B173" s="3"/>
      <c r="C173" s="3"/>
      <c r="D173" s="3"/>
      <c r="E173" s="3"/>
      <c r="F173" s="3"/>
      <c r="G173" s="3"/>
      <c r="H173" s="4"/>
      <c r="I173" s="3"/>
      <c r="J173" s="3"/>
      <c r="K173" s="3"/>
      <c r="L173" s="5">
        <f t="shared" si="24"/>
        <v>0</v>
      </c>
      <c r="M173" s="3"/>
      <c r="N173" s="3"/>
      <c r="O173" s="5">
        <f t="shared" si="25"/>
        <v>0</v>
      </c>
      <c r="P173" s="3"/>
      <c r="Q173" s="3"/>
      <c r="R173" s="5">
        <f t="shared" si="26"/>
        <v>0</v>
      </c>
      <c r="S173" s="5">
        <f t="shared" si="27"/>
        <v>0</v>
      </c>
    </row>
    <row r="174" spans="1:19">
      <c r="A174" s="3"/>
      <c r="B174" s="3"/>
      <c r="C174" s="3"/>
      <c r="D174" s="3"/>
      <c r="E174" s="3"/>
      <c r="F174" s="3"/>
      <c r="G174" s="3"/>
      <c r="H174" s="4"/>
      <c r="I174" s="3"/>
      <c r="J174" s="3"/>
      <c r="K174" s="3"/>
      <c r="L174" s="5">
        <f t="shared" si="24"/>
        <v>0</v>
      </c>
      <c r="M174" s="3"/>
      <c r="N174" s="3"/>
      <c r="O174" s="5">
        <f t="shared" si="25"/>
        <v>0</v>
      </c>
      <c r="P174" s="3"/>
      <c r="Q174" s="3"/>
      <c r="R174" s="5">
        <f t="shared" si="26"/>
        <v>0</v>
      </c>
      <c r="S174" s="5">
        <f t="shared" si="27"/>
        <v>0</v>
      </c>
    </row>
    <row r="175" spans="1:19">
      <c r="A175" s="3"/>
      <c r="B175" s="3"/>
      <c r="C175" s="3"/>
      <c r="D175" s="3"/>
      <c r="E175" s="3"/>
      <c r="F175" s="3"/>
      <c r="G175" s="3"/>
      <c r="H175" s="4"/>
      <c r="I175" s="3"/>
      <c r="J175" s="3"/>
      <c r="K175" s="3"/>
      <c r="L175" s="5">
        <f t="shared" si="24"/>
        <v>0</v>
      </c>
      <c r="M175" s="3"/>
      <c r="N175" s="3"/>
      <c r="O175" s="5">
        <f t="shared" si="25"/>
        <v>0</v>
      </c>
      <c r="P175" s="3"/>
      <c r="Q175" s="3"/>
      <c r="R175" s="5">
        <f t="shared" si="26"/>
        <v>0</v>
      </c>
      <c r="S175" s="5">
        <f t="shared" si="27"/>
        <v>0</v>
      </c>
    </row>
    <row r="176" spans="1:19">
      <c r="A176" s="3"/>
      <c r="B176" s="3"/>
      <c r="C176" s="3"/>
      <c r="D176" s="3"/>
      <c r="E176" s="3"/>
      <c r="F176" s="3"/>
      <c r="G176" s="3"/>
      <c r="H176" s="4"/>
      <c r="I176" s="3"/>
      <c r="J176" s="3"/>
      <c r="K176" s="3"/>
      <c r="L176" s="5">
        <f t="shared" si="24"/>
        <v>0</v>
      </c>
      <c r="M176" s="3"/>
      <c r="N176" s="3"/>
      <c r="O176" s="5">
        <f t="shared" si="25"/>
        <v>0</v>
      </c>
      <c r="P176" s="3"/>
      <c r="Q176" s="3"/>
      <c r="R176" s="5">
        <f t="shared" si="26"/>
        <v>0</v>
      </c>
      <c r="S176" s="5">
        <f t="shared" si="27"/>
        <v>0</v>
      </c>
    </row>
    <row r="177" spans="1:19">
      <c r="A177" s="3"/>
      <c r="B177" s="3"/>
      <c r="C177" s="3"/>
      <c r="D177" s="3"/>
      <c r="E177" s="3"/>
      <c r="F177" s="3"/>
      <c r="G177" s="3"/>
      <c r="H177" s="4"/>
      <c r="I177" s="3"/>
      <c r="J177" s="3"/>
      <c r="K177" s="3"/>
      <c r="L177" s="5">
        <f t="shared" si="24"/>
        <v>0</v>
      </c>
      <c r="M177" s="3"/>
      <c r="N177" s="3"/>
      <c r="O177" s="5">
        <f t="shared" si="25"/>
        <v>0</v>
      </c>
      <c r="P177" s="3"/>
      <c r="Q177" s="3"/>
      <c r="R177" s="5">
        <f t="shared" si="26"/>
        <v>0</v>
      </c>
      <c r="S177" s="5">
        <f t="shared" si="27"/>
        <v>0</v>
      </c>
    </row>
    <row r="178" spans="1:19">
      <c r="A178" s="3"/>
      <c r="B178" s="3"/>
      <c r="C178" s="3"/>
      <c r="D178" s="3"/>
      <c r="E178" s="3"/>
      <c r="F178" s="3"/>
      <c r="G178" s="3"/>
      <c r="H178" s="4"/>
      <c r="I178" s="3"/>
      <c r="J178" s="3"/>
      <c r="K178" s="3"/>
      <c r="L178" s="5">
        <f t="shared" si="24"/>
        <v>0</v>
      </c>
      <c r="M178" s="3"/>
      <c r="N178" s="3"/>
      <c r="O178" s="5">
        <f t="shared" si="25"/>
        <v>0</v>
      </c>
      <c r="P178" s="3"/>
      <c r="Q178" s="3"/>
      <c r="R178" s="5">
        <f t="shared" si="26"/>
        <v>0</v>
      </c>
      <c r="S178" s="5">
        <f t="shared" si="27"/>
        <v>0</v>
      </c>
    </row>
    <row r="179" spans="1:19">
      <c r="A179" s="3"/>
      <c r="B179" s="3"/>
      <c r="C179" s="3"/>
      <c r="D179" s="3"/>
      <c r="E179" s="3"/>
      <c r="F179" s="3"/>
      <c r="G179" s="3"/>
      <c r="H179" s="4"/>
      <c r="I179" s="3"/>
      <c r="J179" s="3"/>
      <c r="K179" s="3"/>
      <c r="L179" s="5">
        <f t="shared" si="24"/>
        <v>0</v>
      </c>
      <c r="M179" s="3"/>
      <c r="N179" s="3"/>
      <c r="O179" s="5">
        <f t="shared" si="25"/>
        <v>0</v>
      </c>
      <c r="P179" s="3"/>
      <c r="Q179" s="3"/>
      <c r="R179" s="5">
        <f t="shared" si="26"/>
        <v>0</v>
      </c>
      <c r="S179" s="5">
        <f t="shared" si="27"/>
        <v>0</v>
      </c>
    </row>
    <row r="180" spans="1:19">
      <c r="A180" s="3"/>
      <c r="B180" s="3"/>
      <c r="C180" s="3"/>
      <c r="D180" s="3"/>
      <c r="E180" s="3"/>
      <c r="F180" s="3"/>
      <c r="G180" s="3"/>
      <c r="H180" s="4"/>
      <c r="I180" s="3"/>
      <c r="J180" s="3"/>
      <c r="K180" s="3"/>
      <c r="L180" s="5">
        <f t="shared" si="24"/>
        <v>0</v>
      </c>
      <c r="M180" s="3"/>
      <c r="N180" s="3"/>
      <c r="O180" s="5">
        <f t="shared" si="25"/>
        <v>0</v>
      </c>
      <c r="P180" s="3"/>
      <c r="Q180" s="3"/>
      <c r="R180" s="5">
        <f t="shared" si="26"/>
        <v>0</v>
      </c>
      <c r="S180" s="5">
        <f t="shared" si="27"/>
        <v>0</v>
      </c>
    </row>
    <row r="181" spans="1:19">
      <c r="A181" s="3"/>
      <c r="B181" s="3"/>
      <c r="C181" s="3"/>
      <c r="D181" s="3"/>
      <c r="E181" s="3"/>
      <c r="F181" s="3"/>
      <c r="G181" s="3"/>
      <c r="H181" s="4"/>
      <c r="I181" s="3"/>
      <c r="J181" s="3"/>
      <c r="K181" s="3"/>
      <c r="L181" s="5">
        <f t="shared" si="24"/>
        <v>0</v>
      </c>
      <c r="M181" s="3"/>
      <c r="N181" s="3"/>
      <c r="O181" s="5">
        <f t="shared" si="25"/>
        <v>0</v>
      </c>
      <c r="P181" s="3"/>
      <c r="Q181" s="3"/>
      <c r="R181" s="5">
        <f t="shared" si="26"/>
        <v>0</v>
      </c>
      <c r="S181" s="5">
        <f t="shared" si="27"/>
        <v>0</v>
      </c>
    </row>
    <row r="182" spans="1:19">
      <c r="A182" s="3"/>
      <c r="B182" s="3"/>
      <c r="C182" s="3"/>
      <c r="D182" s="3"/>
      <c r="E182" s="3"/>
      <c r="F182" s="3"/>
      <c r="G182" s="3"/>
      <c r="H182" s="4"/>
      <c r="I182" s="3"/>
      <c r="J182" s="3"/>
      <c r="K182" s="3"/>
      <c r="L182" s="5">
        <f t="shared" si="24"/>
        <v>0</v>
      </c>
      <c r="M182" s="3"/>
      <c r="N182" s="3"/>
      <c r="O182" s="5">
        <f t="shared" si="25"/>
        <v>0</v>
      </c>
      <c r="P182" s="3"/>
      <c r="Q182" s="3"/>
      <c r="R182" s="5">
        <f t="shared" si="26"/>
        <v>0</v>
      </c>
      <c r="S182" s="5">
        <f t="shared" si="27"/>
        <v>0</v>
      </c>
    </row>
    <row r="183" spans="1:19">
      <c r="A183" s="3"/>
      <c r="B183" s="3"/>
      <c r="C183" s="3"/>
      <c r="D183" s="3"/>
      <c r="E183" s="3"/>
      <c r="F183" s="3"/>
      <c r="G183" s="3"/>
      <c r="H183" s="4"/>
      <c r="I183" s="3"/>
      <c r="J183" s="3"/>
      <c r="K183" s="3"/>
      <c r="L183" s="5">
        <f t="shared" si="24"/>
        <v>0</v>
      </c>
      <c r="M183" s="3"/>
      <c r="N183" s="3"/>
      <c r="O183" s="5">
        <f t="shared" si="25"/>
        <v>0</v>
      </c>
      <c r="P183" s="3"/>
      <c r="Q183" s="3"/>
      <c r="R183" s="5">
        <f t="shared" si="26"/>
        <v>0</v>
      </c>
      <c r="S183" s="5">
        <f t="shared" si="27"/>
        <v>0</v>
      </c>
    </row>
    <row r="184" spans="1:19">
      <c r="A184" s="3"/>
      <c r="B184" s="3"/>
      <c r="C184" s="3"/>
      <c r="D184" s="3"/>
      <c r="E184" s="3"/>
      <c r="F184" s="3"/>
      <c r="G184" s="3"/>
      <c r="H184" s="4"/>
      <c r="I184" s="3"/>
      <c r="J184" s="3"/>
      <c r="K184" s="3"/>
      <c r="L184" s="5">
        <f t="shared" si="24"/>
        <v>0</v>
      </c>
      <c r="M184" s="3"/>
      <c r="N184" s="3"/>
      <c r="O184" s="5">
        <f t="shared" si="25"/>
        <v>0</v>
      </c>
      <c r="P184" s="3"/>
      <c r="Q184" s="3"/>
      <c r="R184" s="5">
        <f t="shared" si="26"/>
        <v>0</v>
      </c>
      <c r="S184" s="5">
        <f t="shared" si="27"/>
        <v>0</v>
      </c>
    </row>
    <row r="185" spans="1:19">
      <c r="A185" s="3"/>
      <c r="B185" s="3"/>
      <c r="C185" s="3"/>
      <c r="D185" s="3"/>
      <c r="E185" s="3"/>
      <c r="F185" s="3"/>
      <c r="G185" s="3"/>
      <c r="H185" s="4"/>
      <c r="I185" s="3"/>
      <c r="J185" s="3"/>
      <c r="K185" s="3"/>
      <c r="L185" s="5">
        <f t="shared" si="24"/>
        <v>0</v>
      </c>
      <c r="M185" s="3"/>
      <c r="N185" s="3"/>
      <c r="O185" s="5">
        <f t="shared" si="25"/>
        <v>0</v>
      </c>
      <c r="P185" s="3"/>
      <c r="Q185" s="3"/>
      <c r="R185" s="5">
        <f t="shared" si="26"/>
        <v>0</v>
      </c>
      <c r="S185" s="5">
        <f t="shared" si="27"/>
        <v>0</v>
      </c>
    </row>
    <row r="186" spans="1:19">
      <c r="A186" s="3"/>
      <c r="B186" s="3"/>
      <c r="C186" s="3"/>
      <c r="D186" s="3"/>
      <c r="E186" s="3"/>
      <c r="F186" s="3"/>
      <c r="G186" s="3"/>
      <c r="H186" s="4"/>
      <c r="I186" s="3"/>
      <c r="J186" s="3"/>
      <c r="K186" s="3"/>
      <c r="L186" s="5">
        <f t="shared" si="24"/>
        <v>0</v>
      </c>
      <c r="M186" s="3"/>
      <c r="N186" s="3"/>
      <c r="O186" s="5">
        <f t="shared" si="25"/>
        <v>0</v>
      </c>
      <c r="P186" s="3"/>
      <c r="Q186" s="3"/>
      <c r="R186" s="5">
        <f t="shared" si="26"/>
        <v>0</v>
      </c>
      <c r="S186" s="5">
        <f t="shared" si="27"/>
        <v>0</v>
      </c>
    </row>
    <row r="187" spans="1:19">
      <c r="A187" s="3"/>
      <c r="B187" s="3"/>
      <c r="C187" s="3"/>
      <c r="D187" s="3"/>
      <c r="E187" s="3"/>
      <c r="F187" s="3"/>
      <c r="G187" s="3"/>
      <c r="H187" s="4"/>
      <c r="I187" s="3"/>
      <c r="J187" s="3"/>
      <c r="K187" s="3"/>
      <c r="L187" s="5">
        <f t="shared" si="24"/>
        <v>0</v>
      </c>
      <c r="M187" s="3"/>
      <c r="N187" s="3"/>
      <c r="O187" s="5">
        <f t="shared" si="25"/>
        <v>0</v>
      </c>
      <c r="P187" s="3"/>
      <c r="Q187" s="3"/>
      <c r="R187" s="5">
        <f t="shared" si="26"/>
        <v>0</v>
      </c>
      <c r="S187" s="5">
        <f t="shared" si="27"/>
        <v>0</v>
      </c>
    </row>
    <row r="188" spans="1:19">
      <c r="A188" s="3"/>
      <c r="B188" s="3"/>
      <c r="C188" s="3"/>
      <c r="D188" s="3"/>
      <c r="E188" s="3"/>
      <c r="F188" s="3"/>
      <c r="G188" s="3"/>
      <c r="H188" s="4"/>
      <c r="I188" s="3"/>
      <c r="J188" s="3"/>
      <c r="K188" s="3"/>
      <c r="L188" s="5">
        <f t="shared" si="24"/>
        <v>0</v>
      </c>
      <c r="M188" s="3"/>
      <c r="N188" s="3"/>
      <c r="O188" s="5">
        <f t="shared" si="25"/>
        <v>0</v>
      </c>
      <c r="P188" s="3"/>
      <c r="Q188" s="3"/>
      <c r="R188" s="5">
        <f t="shared" si="26"/>
        <v>0</v>
      </c>
      <c r="S188" s="5">
        <f t="shared" si="27"/>
        <v>0</v>
      </c>
    </row>
    <row r="189" spans="1:19">
      <c r="A189" s="3"/>
      <c r="B189" s="3"/>
      <c r="C189" s="3"/>
      <c r="D189" s="3"/>
      <c r="E189" s="3"/>
      <c r="F189" s="3"/>
      <c r="G189" s="3"/>
      <c r="H189" s="4"/>
      <c r="I189" s="3"/>
      <c r="J189" s="3"/>
      <c r="K189" s="3"/>
      <c r="L189" s="5">
        <f t="shared" si="24"/>
        <v>0</v>
      </c>
      <c r="M189" s="3"/>
      <c r="N189" s="3"/>
      <c r="O189" s="5">
        <f t="shared" si="25"/>
        <v>0</v>
      </c>
      <c r="P189" s="3"/>
      <c r="Q189" s="3"/>
      <c r="R189" s="5">
        <f t="shared" si="26"/>
        <v>0</v>
      </c>
      <c r="S189" s="5">
        <f t="shared" si="27"/>
        <v>0</v>
      </c>
    </row>
    <row r="190" spans="1:19">
      <c r="A190" s="3"/>
      <c r="B190" s="3"/>
      <c r="C190" s="3"/>
      <c r="D190" s="3"/>
      <c r="E190" s="3"/>
      <c r="F190" s="3"/>
      <c r="G190" s="3"/>
      <c r="H190" s="4"/>
      <c r="I190" s="3"/>
      <c r="J190" s="3"/>
      <c r="K190" s="3"/>
      <c r="L190" s="5">
        <f t="shared" si="24"/>
        <v>0</v>
      </c>
      <c r="M190" s="3"/>
      <c r="N190" s="3"/>
      <c r="O190" s="5">
        <f t="shared" si="25"/>
        <v>0</v>
      </c>
      <c r="P190" s="3"/>
      <c r="Q190" s="3"/>
      <c r="R190" s="5">
        <f t="shared" si="26"/>
        <v>0</v>
      </c>
      <c r="S190" s="5">
        <f t="shared" si="27"/>
        <v>0</v>
      </c>
    </row>
    <row r="191" spans="1:19">
      <c r="A191" s="3"/>
      <c r="B191" s="3"/>
      <c r="C191" s="3"/>
      <c r="D191" s="3"/>
      <c r="E191" s="3"/>
      <c r="F191" s="3"/>
      <c r="G191" s="3"/>
      <c r="H191" s="4"/>
      <c r="I191" s="3"/>
      <c r="J191" s="3"/>
      <c r="K191" s="3"/>
      <c r="L191" s="5">
        <f t="shared" si="24"/>
        <v>0</v>
      </c>
      <c r="M191" s="3"/>
      <c r="N191" s="3"/>
      <c r="O191" s="5">
        <f t="shared" si="25"/>
        <v>0</v>
      </c>
      <c r="P191" s="3"/>
      <c r="Q191" s="3"/>
      <c r="R191" s="5">
        <f t="shared" si="26"/>
        <v>0</v>
      </c>
      <c r="S191" s="5">
        <f t="shared" si="27"/>
        <v>0</v>
      </c>
    </row>
    <row r="192" spans="1:19">
      <c r="A192" s="3"/>
      <c r="B192" s="3"/>
      <c r="C192" s="3"/>
      <c r="D192" s="3"/>
      <c r="E192" s="3"/>
      <c r="F192" s="3"/>
      <c r="G192" s="3"/>
      <c r="H192" s="4"/>
      <c r="I192" s="3"/>
      <c r="J192" s="3"/>
      <c r="K192" s="3"/>
      <c r="L192" s="5">
        <f t="shared" si="24"/>
        <v>0</v>
      </c>
      <c r="M192" s="3"/>
      <c r="N192" s="3"/>
      <c r="O192" s="5">
        <f t="shared" si="25"/>
        <v>0</v>
      </c>
      <c r="P192" s="3"/>
      <c r="Q192" s="3"/>
      <c r="R192" s="5">
        <f t="shared" si="26"/>
        <v>0</v>
      </c>
      <c r="S192" s="5">
        <f t="shared" si="27"/>
        <v>0</v>
      </c>
    </row>
    <row r="193" spans="1:19">
      <c r="A193" s="3"/>
      <c r="B193" s="3"/>
      <c r="C193" s="3"/>
      <c r="D193" s="3"/>
      <c r="E193" s="3"/>
      <c r="F193" s="3"/>
      <c r="G193" s="3"/>
      <c r="H193" s="4"/>
      <c r="I193" s="3"/>
      <c r="J193" s="3"/>
      <c r="K193" s="3"/>
      <c r="L193" s="5">
        <f t="shared" si="24"/>
        <v>0</v>
      </c>
      <c r="M193" s="3"/>
      <c r="N193" s="3"/>
      <c r="O193" s="5">
        <f t="shared" si="25"/>
        <v>0</v>
      </c>
      <c r="P193" s="3"/>
      <c r="Q193" s="3"/>
      <c r="R193" s="5">
        <f t="shared" si="26"/>
        <v>0</v>
      </c>
      <c r="S193" s="5">
        <f t="shared" si="27"/>
        <v>0</v>
      </c>
    </row>
    <row r="194" spans="1:19">
      <c r="A194" s="3"/>
      <c r="B194" s="3"/>
      <c r="C194" s="3"/>
      <c r="D194" s="3"/>
      <c r="E194" s="3"/>
      <c r="F194" s="3"/>
      <c r="G194" s="3"/>
      <c r="H194" s="4"/>
      <c r="I194" s="3"/>
      <c r="J194" s="3"/>
      <c r="K194" s="3"/>
      <c r="L194" s="5">
        <f t="shared" ref="L194:L225" si="28">I194-(J194*K194)</f>
        <v>0</v>
      </c>
      <c r="M194" s="3"/>
      <c r="N194" s="3"/>
      <c r="O194" s="5">
        <f t="shared" ref="O194:O225" si="29">L194-(M194*N194)</f>
        <v>0</v>
      </c>
      <c r="P194" s="3"/>
      <c r="Q194" s="3"/>
      <c r="R194" s="5">
        <f t="shared" ref="R194:R225" si="30">O194-(P194*Q194)</f>
        <v>0</v>
      </c>
      <c r="S194" s="5">
        <f t="shared" ref="S194:S225" si="31">IF(AND(A194&lt;&gt;"",OR(B194="",C194="",H194="")),1,0)+IF(AND(A194&lt;&gt;"",D194=""),1,0)+IF(AND(D194="Yes",OR(G194="",E194&lt;&gt;"",F194&lt;&gt;"")),1,0)+IF(AND(D194="No",OR(G194&lt;&gt;"",E194="")),1,0)+IF(R194&lt;&gt;0,1,0)</f>
        <v>0</v>
      </c>
    </row>
    <row r="195" spans="1:19">
      <c r="A195" s="3"/>
      <c r="B195" s="3"/>
      <c r="C195" s="3"/>
      <c r="D195" s="3"/>
      <c r="E195" s="3"/>
      <c r="F195" s="3"/>
      <c r="G195" s="3"/>
      <c r="H195" s="4"/>
      <c r="I195" s="3"/>
      <c r="J195" s="3"/>
      <c r="K195" s="3"/>
      <c r="L195" s="5">
        <f t="shared" si="28"/>
        <v>0</v>
      </c>
      <c r="M195" s="3"/>
      <c r="N195" s="3"/>
      <c r="O195" s="5">
        <f t="shared" si="29"/>
        <v>0</v>
      </c>
      <c r="P195" s="3"/>
      <c r="Q195" s="3"/>
      <c r="R195" s="5">
        <f t="shared" si="30"/>
        <v>0</v>
      </c>
      <c r="S195" s="5">
        <f t="shared" si="31"/>
        <v>0</v>
      </c>
    </row>
    <row r="196" spans="1:19">
      <c r="A196" s="3"/>
      <c r="B196" s="3"/>
      <c r="C196" s="3"/>
      <c r="D196" s="3"/>
      <c r="E196" s="3"/>
      <c r="F196" s="3"/>
      <c r="G196" s="3"/>
      <c r="H196" s="4"/>
      <c r="I196" s="3"/>
      <c r="J196" s="3"/>
      <c r="K196" s="3"/>
      <c r="L196" s="5">
        <f t="shared" si="28"/>
        <v>0</v>
      </c>
      <c r="M196" s="3"/>
      <c r="N196" s="3"/>
      <c r="O196" s="5">
        <f t="shared" si="29"/>
        <v>0</v>
      </c>
      <c r="P196" s="3"/>
      <c r="Q196" s="3"/>
      <c r="R196" s="5">
        <f t="shared" si="30"/>
        <v>0</v>
      </c>
      <c r="S196" s="5">
        <f t="shared" si="31"/>
        <v>0</v>
      </c>
    </row>
    <row r="197" spans="1:19">
      <c r="A197" s="3"/>
      <c r="B197" s="3"/>
      <c r="C197" s="3"/>
      <c r="D197" s="3"/>
      <c r="E197" s="3"/>
      <c r="F197" s="3"/>
      <c r="G197" s="3"/>
      <c r="H197" s="4"/>
      <c r="I197" s="3"/>
      <c r="J197" s="3"/>
      <c r="K197" s="3"/>
      <c r="L197" s="5">
        <f t="shared" si="28"/>
        <v>0</v>
      </c>
      <c r="M197" s="3"/>
      <c r="N197" s="3"/>
      <c r="O197" s="5">
        <f t="shared" si="29"/>
        <v>0</v>
      </c>
      <c r="P197" s="3"/>
      <c r="Q197" s="3"/>
      <c r="R197" s="5">
        <f t="shared" si="30"/>
        <v>0</v>
      </c>
      <c r="S197" s="5">
        <f t="shared" si="31"/>
        <v>0</v>
      </c>
    </row>
    <row r="198" spans="1:19">
      <c r="A198" s="3"/>
      <c r="B198" s="3"/>
      <c r="C198" s="3"/>
      <c r="D198" s="3"/>
      <c r="E198" s="3"/>
      <c r="F198" s="3"/>
      <c r="G198" s="3"/>
      <c r="H198" s="4"/>
      <c r="I198" s="3"/>
      <c r="J198" s="3"/>
      <c r="K198" s="3"/>
      <c r="L198" s="5">
        <f t="shared" si="28"/>
        <v>0</v>
      </c>
      <c r="M198" s="3"/>
      <c r="N198" s="3"/>
      <c r="O198" s="5">
        <f t="shared" si="29"/>
        <v>0</v>
      </c>
      <c r="P198" s="3"/>
      <c r="Q198" s="3"/>
      <c r="R198" s="5">
        <f t="shared" si="30"/>
        <v>0</v>
      </c>
      <c r="S198" s="5">
        <f t="shared" si="31"/>
        <v>0</v>
      </c>
    </row>
    <row r="199" spans="1:19">
      <c r="A199" s="3"/>
      <c r="B199" s="3"/>
      <c r="C199" s="3"/>
      <c r="D199" s="3"/>
      <c r="E199" s="3"/>
      <c r="F199" s="3"/>
      <c r="G199" s="3"/>
      <c r="H199" s="4"/>
      <c r="I199" s="3"/>
      <c r="J199" s="3"/>
      <c r="K199" s="3"/>
      <c r="L199" s="5">
        <f t="shared" si="28"/>
        <v>0</v>
      </c>
      <c r="M199" s="3"/>
      <c r="N199" s="3"/>
      <c r="O199" s="5">
        <f t="shared" si="29"/>
        <v>0</v>
      </c>
      <c r="P199" s="3"/>
      <c r="Q199" s="3"/>
      <c r="R199" s="5">
        <f t="shared" si="30"/>
        <v>0</v>
      </c>
      <c r="S199" s="5">
        <f t="shared" si="31"/>
        <v>0</v>
      </c>
    </row>
    <row r="200" spans="1:19">
      <c r="A200" s="3"/>
      <c r="B200" s="3"/>
      <c r="C200" s="3"/>
      <c r="D200" s="3"/>
      <c r="E200" s="3"/>
      <c r="F200" s="3"/>
      <c r="G200" s="3"/>
      <c r="H200" s="4"/>
      <c r="I200" s="3"/>
      <c r="J200" s="3"/>
      <c r="K200" s="3"/>
      <c r="L200" s="5">
        <f t="shared" si="28"/>
        <v>0</v>
      </c>
      <c r="M200" s="3"/>
      <c r="N200" s="3"/>
      <c r="O200" s="5">
        <f t="shared" si="29"/>
        <v>0</v>
      </c>
      <c r="P200" s="3"/>
      <c r="Q200" s="3"/>
      <c r="R200" s="5">
        <f t="shared" si="30"/>
        <v>0</v>
      </c>
      <c r="S200" s="5">
        <f t="shared" si="31"/>
        <v>0</v>
      </c>
    </row>
    <row r="201" spans="1:19">
      <c r="A201" s="3"/>
      <c r="B201" s="3"/>
      <c r="C201" s="3"/>
      <c r="D201" s="3"/>
      <c r="E201" s="3"/>
      <c r="F201" s="3"/>
      <c r="G201" s="3"/>
      <c r="H201" s="4"/>
      <c r="I201" s="3"/>
      <c r="J201" s="3"/>
      <c r="K201" s="3"/>
      <c r="L201" s="5">
        <f t="shared" si="28"/>
        <v>0</v>
      </c>
      <c r="M201" s="3"/>
      <c r="N201" s="3"/>
      <c r="O201" s="5">
        <f t="shared" si="29"/>
        <v>0</v>
      </c>
      <c r="P201" s="3"/>
      <c r="Q201" s="3"/>
      <c r="R201" s="5">
        <f t="shared" si="30"/>
        <v>0</v>
      </c>
      <c r="S201" s="5">
        <f t="shared" si="31"/>
        <v>0</v>
      </c>
    </row>
    <row r="202" spans="1:19">
      <c r="A202" s="3"/>
      <c r="B202" s="3"/>
      <c r="C202" s="3"/>
      <c r="D202" s="3"/>
      <c r="E202" s="3"/>
      <c r="F202" s="3"/>
      <c r="G202" s="3"/>
      <c r="H202" s="4"/>
      <c r="I202" s="3"/>
      <c r="J202" s="3"/>
      <c r="K202" s="3"/>
      <c r="L202" s="5">
        <f t="shared" si="28"/>
        <v>0</v>
      </c>
      <c r="M202" s="3"/>
      <c r="N202" s="3"/>
      <c r="O202" s="5">
        <f t="shared" si="29"/>
        <v>0</v>
      </c>
      <c r="P202" s="3"/>
      <c r="Q202" s="3"/>
      <c r="R202" s="5">
        <f t="shared" si="30"/>
        <v>0</v>
      </c>
      <c r="S202" s="5">
        <f t="shared" si="31"/>
        <v>0</v>
      </c>
    </row>
    <row r="203" spans="1:19">
      <c r="A203" s="3"/>
      <c r="B203" s="3"/>
      <c r="C203" s="3"/>
      <c r="D203" s="3"/>
      <c r="E203" s="3"/>
      <c r="F203" s="3"/>
      <c r="G203" s="3"/>
      <c r="H203" s="4"/>
      <c r="I203" s="3"/>
      <c r="J203" s="3"/>
      <c r="K203" s="3"/>
      <c r="L203" s="5">
        <f t="shared" si="28"/>
        <v>0</v>
      </c>
      <c r="M203" s="3"/>
      <c r="N203" s="3"/>
      <c r="O203" s="5">
        <f t="shared" si="29"/>
        <v>0</v>
      </c>
      <c r="P203" s="3"/>
      <c r="Q203" s="3"/>
      <c r="R203" s="5">
        <f t="shared" si="30"/>
        <v>0</v>
      </c>
      <c r="S203" s="5">
        <f t="shared" si="31"/>
        <v>0</v>
      </c>
    </row>
    <row r="204" spans="1:19">
      <c r="A204" s="3"/>
      <c r="B204" s="3"/>
      <c r="C204" s="3"/>
      <c r="D204" s="3"/>
      <c r="E204" s="3"/>
      <c r="F204" s="3"/>
      <c r="G204" s="3"/>
      <c r="H204" s="4"/>
      <c r="I204" s="3"/>
      <c r="J204" s="3"/>
      <c r="K204" s="3"/>
      <c r="L204" s="5">
        <f t="shared" si="28"/>
        <v>0</v>
      </c>
      <c r="M204" s="3"/>
      <c r="N204" s="3"/>
      <c r="O204" s="5">
        <f t="shared" si="29"/>
        <v>0</v>
      </c>
      <c r="P204" s="3"/>
      <c r="Q204" s="3"/>
      <c r="R204" s="5">
        <f t="shared" si="30"/>
        <v>0</v>
      </c>
      <c r="S204" s="5">
        <f t="shared" si="31"/>
        <v>0</v>
      </c>
    </row>
    <row r="205" spans="1:19">
      <c r="A205" s="3"/>
      <c r="B205" s="3"/>
      <c r="C205" s="3"/>
      <c r="D205" s="3"/>
      <c r="E205" s="3"/>
      <c r="F205" s="3"/>
      <c r="G205" s="3"/>
      <c r="H205" s="4"/>
      <c r="I205" s="3"/>
      <c r="J205" s="3"/>
      <c r="K205" s="3"/>
      <c r="L205" s="5">
        <f t="shared" si="28"/>
        <v>0</v>
      </c>
      <c r="M205" s="3"/>
      <c r="N205" s="3"/>
      <c r="O205" s="5">
        <f t="shared" si="29"/>
        <v>0</v>
      </c>
      <c r="P205" s="3"/>
      <c r="Q205" s="3"/>
      <c r="R205" s="5">
        <f t="shared" si="30"/>
        <v>0</v>
      </c>
      <c r="S205" s="5">
        <f t="shared" si="31"/>
        <v>0</v>
      </c>
    </row>
    <row r="206" spans="1:19">
      <c r="A206" s="3"/>
      <c r="B206" s="3"/>
      <c r="C206" s="3"/>
      <c r="D206" s="3"/>
      <c r="E206" s="3"/>
      <c r="F206" s="3"/>
      <c r="G206" s="3"/>
      <c r="H206" s="4"/>
      <c r="I206" s="3"/>
      <c r="J206" s="3"/>
      <c r="K206" s="3"/>
      <c r="L206" s="5">
        <f t="shared" si="28"/>
        <v>0</v>
      </c>
      <c r="M206" s="3"/>
      <c r="N206" s="3"/>
      <c r="O206" s="5">
        <f t="shared" si="29"/>
        <v>0</v>
      </c>
      <c r="P206" s="3"/>
      <c r="Q206" s="3"/>
      <c r="R206" s="5">
        <f t="shared" si="30"/>
        <v>0</v>
      </c>
      <c r="S206" s="5">
        <f t="shared" si="31"/>
        <v>0</v>
      </c>
    </row>
    <row r="207" spans="1:19">
      <c r="A207" s="3"/>
      <c r="B207" s="3"/>
      <c r="C207" s="3"/>
      <c r="D207" s="3"/>
      <c r="E207" s="3"/>
      <c r="F207" s="3"/>
      <c r="G207" s="3"/>
      <c r="H207" s="4"/>
      <c r="I207" s="3"/>
      <c r="J207" s="3"/>
      <c r="K207" s="3"/>
      <c r="L207" s="5">
        <f t="shared" si="28"/>
        <v>0</v>
      </c>
      <c r="M207" s="3"/>
      <c r="N207" s="3"/>
      <c r="O207" s="5">
        <f t="shared" si="29"/>
        <v>0</v>
      </c>
      <c r="P207" s="3"/>
      <c r="Q207" s="3"/>
      <c r="R207" s="5">
        <f t="shared" si="30"/>
        <v>0</v>
      </c>
      <c r="S207" s="5">
        <f t="shared" si="31"/>
        <v>0</v>
      </c>
    </row>
    <row r="208" spans="1:19">
      <c r="A208" s="3"/>
      <c r="B208" s="3"/>
      <c r="C208" s="3"/>
      <c r="D208" s="3"/>
      <c r="E208" s="3"/>
      <c r="F208" s="3"/>
      <c r="G208" s="3"/>
      <c r="H208" s="4"/>
      <c r="I208" s="3"/>
      <c r="J208" s="3"/>
      <c r="K208" s="3"/>
      <c r="L208" s="5">
        <f t="shared" si="28"/>
        <v>0</v>
      </c>
      <c r="M208" s="3"/>
      <c r="N208" s="3"/>
      <c r="O208" s="5">
        <f t="shared" si="29"/>
        <v>0</v>
      </c>
      <c r="P208" s="3"/>
      <c r="Q208" s="3"/>
      <c r="R208" s="5">
        <f t="shared" si="30"/>
        <v>0</v>
      </c>
      <c r="S208" s="5">
        <f t="shared" si="31"/>
        <v>0</v>
      </c>
    </row>
    <row r="209" spans="1:19">
      <c r="A209" s="3"/>
      <c r="B209" s="3"/>
      <c r="C209" s="3"/>
      <c r="D209" s="3"/>
      <c r="E209" s="3"/>
      <c r="F209" s="3"/>
      <c r="G209" s="3"/>
      <c r="H209" s="4"/>
      <c r="I209" s="3"/>
      <c r="J209" s="3"/>
      <c r="K209" s="3"/>
      <c r="L209" s="5">
        <f t="shared" si="28"/>
        <v>0</v>
      </c>
      <c r="M209" s="3"/>
      <c r="N209" s="3"/>
      <c r="O209" s="5">
        <f t="shared" si="29"/>
        <v>0</v>
      </c>
      <c r="P209" s="3"/>
      <c r="Q209" s="3"/>
      <c r="R209" s="5">
        <f t="shared" si="30"/>
        <v>0</v>
      </c>
      <c r="S209" s="5">
        <f t="shared" si="31"/>
        <v>0</v>
      </c>
    </row>
    <row r="210" spans="1:19">
      <c r="A210" s="3"/>
      <c r="B210" s="3"/>
      <c r="C210" s="3"/>
      <c r="D210" s="3"/>
      <c r="E210" s="3"/>
      <c r="F210" s="3"/>
      <c r="G210" s="3"/>
      <c r="H210" s="4"/>
      <c r="I210" s="3"/>
      <c r="J210" s="3"/>
      <c r="K210" s="3"/>
      <c r="L210" s="5">
        <f t="shared" si="28"/>
        <v>0</v>
      </c>
      <c r="M210" s="3"/>
      <c r="N210" s="3"/>
      <c r="O210" s="5">
        <f t="shared" si="29"/>
        <v>0</v>
      </c>
      <c r="P210" s="3"/>
      <c r="Q210" s="3"/>
      <c r="R210" s="5">
        <f t="shared" si="30"/>
        <v>0</v>
      </c>
      <c r="S210" s="5">
        <f t="shared" si="31"/>
        <v>0</v>
      </c>
    </row>
    <row r="211" spans="1:19">
      <c r="A211" s="3"/>
      <c r="B211" s="3"/>
      <c r="C211" s="3"/>
      <c r="D211" s="3"/>
      <c r="E211" s="3"/>
      <c r="F211" s="3"/>
      <c r="G211" s="3"/>
      <c r="H211" s="4"/>
      <c r="I211" s="3"/>
      <c r="J211" s="3"/>
      <c r="K211" s="3"/>
      <c r="L211" s="5">
        <f t="shared" si="28"/>
        <v>0</v>
      </c>
      <c r="M211" s="3"/>
      <c r="N211" s="3"/>
      <c r="O211" s="5">
        <f t="shared" si="29"/>
        <v>0</v>
      </c>
      <c r="P211" s="3"/>
      <c r="Q211" s="3"/>
      <c r="R211" s="5">
        <f t="shared" si="30"/>
        <v>0</v>
      </c>
      <c r="S211" s="5">
        <f t="shared" si="31"/>
        <v>0</v>
      </c>
    </row>
    <row r="212" spans="1:19">
      <c r="A212" s="3"/>
      <c r="B212" s="3"/>
      <c r="C212" s="3"/>
      <c r="D212" s="3"/>
      <c r="E212" s="3"/>
      <c r="F212" s="3"/>
      <c r="G212" s="3"/>
      <c r="H212" s="4"/>
      <c r="I212" s="3"/>
      <c r="J212" s="3"/>
      <c r="K212" s="3"/>
      <c r="L212" s="5">
        <f t="shared" si="28"/>
        <v>0</v>
      </c>
      <c r="M212" s="3"/>
      <c r="N212" s="3"/>
      <c r="O212" s="5">
        <f t="shared" si="29"/>
        <v>0</v>
      </c>
      <c r="P212" s="3"/>
      <c r="Q212" s="3"/>
      <c r="R212" s="5">
        <f t="shared" si="30"/>
        <v>0</v>
      </c>
      <c r="S212" s="5">
        <f t="shared" si="31"/>
        <v>0</v>
      </c>
    </row>
    <row r="213" spans="1:19">
      <c r="A213" s="3"/>
      <c r="B213" s="3"/>
      <c r="C213" s="3"/>
      <c r="D213" s="3"/>
      <c r="E213" s="3"/>
      <c r="F213" s="3"/>
      <c r="G213" s="3"/>
      <c r="H213" s="4"/>
      <c r="I213" s="3"/>
      <c r="J213" s="3"/>
      <c r="K213" s="3"/>
      <c r="L213" s="5">
        <f t="shared" si="28"/>
        <v>0</v>
      </c>
      <c r="M213" s="3"/>
      <c r="N213" s="3"/>
      <c r="O213" s="5">
        <f t="shared" si="29"/>
        <v>0</v>
      </c>
      <c r="P213" s="3"/>
      <c r="Q213" s="3"/>
      <c r="R213" s="5">
        <f t="shared" si="30"/>
        <v>0</v>
      </c>
      <c r="S213" s="5">
        <f t="shared" si="31"/>
        <v>0</v>
      </c>
    </row>
    <row r="214" spans="1:19">
      <c r="A214" s="3"/>
      <c r="B214" s="3"/>
      <c r="C214" s="3"/>
      <c r="D214" s="3"/>
      <c r="E214" s="3"/>
      <c r="F214" s="3"/>
      <c r="G214" s="3"/>
      <c r="H214" s="4"/>
      <c r="I214" s="3"/>
      <c r="J214" s="3"/>
      <c r="K214" s="3"/>
      <c r="L214" s="5">
        <f t="shared" si="28"/>
        <v>0</v>
      </c>
      <c r="M214" s="3"/>
      <c r="N214" s="3"/>
      <c r="O214" s="5">
        <f t="shared" si="29"/>
        <v>0</v>
      </c>
      <c r="P214" s="3"/>
      <c r="Q214" s="3"/>
      <c r="R214" s="5">
        <f t="shared" si="30"/>
        <v>0</v>
      </c>
      <c r="S214" s="5">
        <f t="shared" si="31"/>
        <v>0</v>
      </c>
    </row>
    <row r="215" spans="1:19">
      <c r="A215" s="3"/>
      <c r="B215" s="3"/>
      <c r="C215" s="3"/>
      <c r="D215" s="3"/>
      <c r="E215" s="3"/>
      <c r="F215" s="3"/>
      <c r="G215" s="3"/>
      <c r="H215" s="4"/>
      <c r="I215" s="3"/>
      <c r="J215" s="3"/>
      <c r="K215" s="3"/>
      <c r="L215" s="5">
        <f t="shared" si="28"/>
        <v>0</v>
      </c>
      <c r="M215" s="3"/>
      <c r="N215" s="3"/>
      <c r="O215" s="5">
        <f t="shared" si="29"/>
        <v>0</v>
      </c>
      <c r="P215" s="3"/>
      <c r="Q215" s="3"/>
      <c r="R215" s="5">
        <f t="shared" si="30"/>
        <v>0</v>
      </c>
      <c r="S215" s="5">
        <f t="shared" si="31"/>
        <v>0</v>
      </c>
    </row>
    <row r="216" spans="1:19">
      <c r="A216" s="3"/>
      <c r="B216" s="3"/>
      <c r="C216" s="3"/>
      <c r="D216" s="3"/>
      <c r="E216" s="3"/>
      <c r="F216" s="3"/>
      <c r="G216" s="3"/>
      <c r="H216" s="4"/>
      <c r="I216" s="3"/>
      <c r="J216" s="3"/>
      <c r="K216" s="3"/>
      <c r="L216" s="5">
        <f t="shared" si="28"/>
        <v>0</v>
      </c>
      <c r="M216" s="3"/>
      <c r="N216" s="3"/>
      <c r="O216" s="5">
        <f t="shared" si="29"/>
        <v>0</v>
      </c>
      <c r="P216" s="3"/>
      <c r="Q216" s="3"/>
      <c r="R216" s="5">
        <f t="shared" si="30"/>
        <v>0</v>
      </c>
      <c r="S216" s="5">
        <f t="shared" si="31"/>
        <v>0</v>
      </c>
    </row>
    <row r="217" spans="1:19">
      <c r="A217" s="3"/>
      <c r="B217" s="3"/>
      <c r="C217" s="3"/>
      <c r="D217" s="3"/>
      <c r="E217" s="3"/>
      <c r="F217" s="3"/>
      <c r="G217" s="3"/>
      <c r="H217" s="4"/>
      <c r="I217" s="3"/>
      <c r="J217" s="3"/>
      <c r="K217" s="3"/>
      <c r="L217" s="5">
        <f t="shared" si="28"/>
        <v>0</v>
      </c>
      <c r="M217" s="3"/>
      <c r="N217" s="3"/>
      <c r="O217" s="5">
        <f t="shared" si="29"/>
        <v>0</v>
      </c>
      <c r="P217" s="3"/>
      <c r="Q217" s="3"/>
      <c r="R217" s="5">
        <f t="shared" si="30"/>
        <v>0</v>
      </c>
      <c r="S217" s="5">
        <f t="shared" si="31"/>
        <v>0</v>
      </c>
    </row>
    <row r="218" spans="1:19">
      <c r="A218" s="3"/>
      <c r="B218" s="3"/>
      <c r="C218" s="3"/>
      <c r="D218" s="3"/>
      <c r="E218" s="3"/>
      <c r="F218" s="3"/>
      <c r="G218" s="3"/>
      <c r="H218" s="4"/>
      <c r="I218" s="3"/>
      <c r="J218" s="3"/>
      <c r="K218" s="3"/>
      <c r="L218" s="5">
        <f t="shared" si="28"/>
        <v>0</v>
      </c>
      <c r="M218" s="3"/>
      <c r="N218" s="3"/>
      <c r="O218" s="5">
        <f t="shared" si="29"/>
        <v>0</v>
      </c>
      <c r="P218" s="3"/>
      <c r="Q218" s="3"/>
      <c r="R218" s="5">
        <f t="shared" si="30"/>
        <v>0</v>
      </c>
      <c r="S218" s="5">
        <f t="shared" si="31"/>
        <v>0</v>
      </c>
    </row>
    <row r="219" spans="1:19">
      <c r="A219" s="3"/>
      <c r="B219" s="3"/>
      <c r="C219" s="3"/>
      <c r="D219" s="3"/>
      <c r="E219" s="3"/>
      <c r="F219" s="3"/>
      <c r="G219" s="3"/>
      <c r="H219" s="4"/>
      <c r="I219" s="3"/>
      <c r="J219" s="3"/>
      <c r="K219" s="3"/>
      <c r="L219" s="5">
        <f t="shared" si="28"/>
        <v>0</v>
      </c>
      <c r="M219" s="3"/>
      <c r="N219" s="3"/>
      <c r="O219" s="5">
        <f t="shared" si="29"/>
        <v>0</v>
      </c>
      <c r="P219" s="3"/>
      <c r="Q219" s="3"/>
      <c r="R219" s="5">
        <f t="shared" si="30"/>
        <v>0</v>
      </c>
      <c r="S219" s="5">
        <f t="shared" si="31"/>
        <v>0</v>
      </c>
    </row>
    <row r="220" spans="1:19">
      <c r="A220" s="3"/>
      <c r="B220" s="3"/>
      <c r="C220" s="3"/>
      <c r="D220" s="3"/>
      <c r="E220" s="3"/>
      <c r="F220" s="3"/>
      <c r="G220" s="3"/>
      <c r="H220" s="4"/>
      <c r="I220" s="3"/>
      <c r="J220" s="3"/>
      <c r="K220" s="3"/>
      <c r="L220" s="5">
        <f t="shared" si="28"/>
        <v>0</v>
      </c>
      <c r="M220" s="3"/>
      <c r="N220" s="3"/>
      <c r="O220" s="5">
        <f t="shared" si="29"/>
        <v>0</v>
      </c>
      <c r="P220" s="3"/>
      <c r="Q220" s="3"/>
      <c r="R220" s="5">
        <f t="shared" si="30"/>
        <v>0</v>
      </c>
      <c r="S220" s="5">
        <f t="shared" si="31"/>
        <v>0</v>
      </c>
    </row>
    <row r="221" spans="1:19">
      <c r="A221" s="3"/>
      <c r="B221" s="3"/>
      <c r="C221" s="3"/>
      <c r="D221" s="3"/>
      <c r="E221" s="3"/>
      <c r="F221" s="3"/>
      <c r="G221" s="3"/>
      <c r="H221" s="4"/>
      <c r="I221" s="3"/>
      <c r="J221" s="3"/>
      <c r="K221" s="3"/>
      <c r="L221" s="5">
        <f t="shared" si="28"/>
        <v>0</v>
      </c>
      <c r="M221" s="3"/>
      <c r="N221" s="3"/>
      <c r="O221" s="5">
        <f t="shared" si="29"/>
        <v>0</v>
      </c>
      <c r="P221" s="3"/>
      <c r="Q221" s="3"/>
      <c r="R221" s="5">
        <f t="shared" si="30"/>
        <v>0</v>
      </c>
      <c r="S221" s="5">
        <f t="shared" si="31"/>
        <v>0</v>
      </c>
    </row>
    <row r="222" spans="1:19">
      <c r="A222" s="3"/>
      <c r="B222" s="3"/>
      <c r="C222" s="3"/>
      <c r="D222" s="3"/>
      <c r="E222" s="3"/>
      <c r="F222" s="3"/>
      <c r="G222" s="3"/>
      <c r="H222" s="4"/>
      <c r="I222" s="3"/>
      <c r="J222" s="3"/>
      <c r="K222" s="3"/>
      <c r="L222" s="5">
        <f t="shared" si="28"/>
        <v>0</v>
      </c>
      <c r="M222" s="3"/>
      <c r="N222" s="3"/>
      <c r="O222" s="5">
        <f t="shared" si="29"/>
        <v>0</v>
      </c>
      <c r="P222" s="3"/>
      <c r="Q222" s="3"/>
      <c r="R222" s="5">
        <f t="shared" si="30"/>
        <v>0</v>
      </c>
      <c r="S222" s="5">
        <f t="shared" si="31"/>
        <v>0</v>
      </c>
    </row>
    <row r="223" spans="1:19">
      <c r="A223" s="3"/>
      <c r="B223" s="3"/>
      <c r="C223" s="3"/>
      <c r="D223" s="3"/>
      <c r="E223" s="3"/>
      <c r="F223" s="3"/>
      <c r="G223" s="3"/>
      <c r="H223" s="4"/>
      <c r="I223" s="3"/>
      <c r="J223" s="3"/>
      <c r="K223" s="3"/>
      <c r="L223" s="5">
        <f t="shared" si="28"/>
        <v>0</v>
      </c>
      <c r="M223" s="3"/>
      <c r="N223" s="3"/>
      <c r="O223" s="5">
        <f t="shared" si="29"/>
        <v>0</v>
      </c>
      <c r="P223" s="3"/>
      <c r="Q223" s="3"/>
      <c r="R223" s="5">
        <f t="shared" si="30"/>
        <v>0</v>
      </c>
      <c r="S223" s="5">
        <f t="shared" si="31"/>
        <v>0</v>
      </c>
    </row>
    <row r="224" spans="1:19">
      <c r="A224" s="3"/>
      <c r="B224" s="3"/>
      <c r="C224" s="3"/>
      <c r="D224" s="3"/>
      <c r="E224" s="3"/>
      <c r="F224" s="3"/>
      <c r="G224" s="3"/>
      <c r="H224" s="4"/>
      <c r="I224" s="3"/>
      <c r="J224" s="3"/>
      <c r="K224" s="3"/>
      <c r="L224" s="5">
        <f t="shared" si="28"/>
        <v>0</v>
      </c>
      <c r="M224" s="3"/>
      <c r="N224" s="3"/>
      <c r="O224" s="5">
        <f t="shared" si="29"/>
        <v>0</v>
      </c>
      <c r="P224" s="3"/>
      <c r="Q224" s="3"/>
      <c r="R224" s="5">
        <f t="shared" si="30"/>
        <v>0</v>
      </c>
      <c r="S224" s="5">
        <f t="shared" si="31"/>
        <v>0</v>
      </c>
    </row>
    <row r="225" spans="1:19">
      <c r="A225" s="3"/>
      <c r="B225" s="3"/>
      <c r="C225" s="3"/>
      <c r="D225" s="3"/>
      <c r="E225" s="3"/>
      <c r="F225" s="3"/>
      <c r="G225" s="3"/>
      <c r="H225" s="4"/>
      <c r="I225" s="3"/>
      <c r="J225" s="3"/>
      <c r="K225" s="3"/>
      <c r="L225" s="5">
        <f t="shared" si="28"/>
        <v>0</v>
      </c>
      <c r="M225" s="3"/>
      <c r="N225" s="3"/>
      <c r="O225" s="5">
        <f t="shared" si="29"/>
        <v>0</v>
      </c>
      <c r="P225" s="3"/>
      <c r="Q225" s="3"/>
      <c r="R225" s="5">
        <f t="shared" si="30"/>
        <v>0</v>
      </c>
      <c r="S225" s="5">
        <f t="shared" si="31"/>
        <v>0</v>
      </c>
    </row>
    <row r="226" spans="1:19">
      <c r="A226" s="3"/>
      <c r="B226" s="3"/>
      <c r="C226" s="3"/>
      <c r="D226" s="3"/>
      <c r="E226" s="3"/>
      <c r="F226" s="3"/>
      <c r="G226" s="3"/>
      <c r="H226" s="4"/>
      <c r="I226" s="3"/>
      <c r="J226" s="3"/>
      <c r="K226" s="3"/>
      <c r="L226" s="5">
        <f t="shared" ref="L226:L237" si="32">I226-(J226*K226)</f>
        <v>0</v>
      </c>
      <c r="M226" s="3"/>
      <c r="N226" s="3"/>
      <c r="O226" s="5">
        <f t="shared" ref="O226:O237" si="33">L226-(M226*N226)</f>
        <v>0</v>
      </c>
      <c r="P226" s="3"/>
      <c r="Q226" s="3"/>
      <c r="R226" s="5">
        <f t="shared" ref="R226:R237" si="34">O226-(P226*Q226)</f>
        <v>0</v>
      </c>
      <c r="S226" s="5">
        <f t="shared" ref="S226:S237" si="35">IF(AND(A226&lt;&gt;"",OR(B226="",C226="",H226="")),1,0)+IF(AND(A226&lt;&gt;"",D226=""),1,0)+IF(AND(D226="Yes",OR(G226="",E226&lt;&gt;"",F226&lt;&gt;"")),1,0)+IF(AND(D226="No",OR(G226&lt;&gt;"",E226="")),1,0)+IF(R226&lt;&gt;0,1,0)</f>
        <v>0</v>
      </c>
    </row>
    <row r="227" spans="1:19">
      <c r="A227" s="3"/>
      <c r="B227" s="3"/>
      <c r="C227" s="3"/>
      <c r="D227" s="3"/>
      <c r="E227" s="3"/>
      <c r="F227" s="3"/>
      <c r="G227" s="3"/>
      <c r="H227" s="4"/>
      <c r="I227" s="3"/>
      <c r="J227" s="3"/>
      <c r="K227" s="3"/>
      <c r="L227" s="5">
        <f t="shared" si="32"/>
        <v>0</v>
      </c>
      <c r="M227" s="3"/>
      <c r="N227" s="3"/>
      <c r="O227" s="5">
        <f t="shared" si="33"/>
        <v>0</v>
      </c>
      <c r="P227" s="3"/>
      <c r="Q227" s="3"/>
      <c r="R227" s="5">
        <f t="shared" si="34"/>
        <v>0</v>
      </c>
      <c r="S227" s="5">
        <f t="shared" si="35"/>
        <v>0</v>
      </c>
    </row>
    <row r="228" spans="1:19">
      <c r="A228" s="3"/>
      <c r="B228" s="3"/>
      <c r="C228" s="3"/>
      <c r="D228" s="3"/>
      <c r="E228" s="3"/>
      <c r="F228" s="3"/>
      <c r="G228" s="3"/>
      <c r="H228" s="4"/>
      <c r="I228" s="3"/>
      <c r="J228" s="3"/>
      <c r="K228" s="3"/>
      <c r="L228" s="5">
        <f t="shared" si="32"/>
        <v>0</v>
      </c>
      <c r="M228" s="3"/>
      <c r="N228" s="3"/>
      <c r="O228" s="5">
        <f t="shared" si="33"/>
        <v>0</v>
      </c>
      <c r="P228" s="3"/>
      <c r="Q228" s="3"/>
      <c r="R228" s="5">
        <f t="shared" si="34"/>
        <v>0</v>
      </c>
      <c r="S228" s="5">
        <f t="shared" si="35"/>
        <v>0</v>
      </c>
    </row>
    <row r="229" spans="1:19">
      <c r="A229" s="3"/>
      <c r="B229" s="3"/>
      <c r="C229" s="3"/>
      <c r="D229" s="3"/>
      <c r="E229" s="3"/>
      <c r="F229" s="3"/>
      <c r="G229" s="3"/>
      <c r="H229" s="4"/>
      <c r="I229" s="3"/>
      <c r="J229" s="3"/>
      <c r="K229" s="3"/>
      <c r="L229" s="5">
        <f t="shared" si="32"/>
        <v>0</v>
      </c>
      <c r="M229" s="3"/>
      <c r="N229" s="3"/>
      <c r="O229" s="5">
        <f t="shared" si="33"/>
        <v>0</v>
      </c>
      <c r="P229" s="3"/>
      <c r="Q229" s="3"/>
      <c r="R229" s="5">
        <f t="shared" si="34"/>
        <v>0</v>
      </c>
      <c r="S229" s="5">
        <f t="shared" si="35"/>
        <v>0</v>
      </c>
    </row>
    <row r="230" spans="1:19">
      <c r="A230" s="3"/>
      <c r="B230" s="3"/>
      <c r="C230" s="3"/>
      <c r="D230" s="3"/>
      <c r="E230" s="3"/>
      <c r="F230" s="3"/>
      <c r="G230" s="3"/>
      <c r="H230" s="4"/>
      <c r="I230" s="3"/>
      <c r="J230" s="3"/>
      <c r="K230" s="3"/>
      <c r="L230" s="5">
        <f t="shared" si="32"/>
        <v>0</v>
      </c>
      <c r="M230" s="3"/>
      <c r="N230" s="3"/>
      <c r="O230" s="5">
        <f t="shared" si="33"/>
        <v>0</v>
      </c>
      <c r="P230" s="3"/>
      <c r="Q230" s="3"/>
      <c r="R230" s="5">
        <f t="shared" si="34"/>
        <v>0</v>
      </c>
      <c r="S230" s="5">
        <f t="shared" si="35"/>
        <v>0</v>
      </c>
    </row>
    <row r="231" spans="1:19">
      <c r="A231" s="3"/>
      <c r="B231" s="3"/>
      <c r="C231" s="3"/>
      <c r="D231" s="3"/>
      <c r="E231" s="3"/>
      <c r="F231" s="3"/>
      <c r="G231" s="3"/>
      <c r="H231" s="4"/>
      <c r="I231" s="3"/>
      <c r="J231" s="3"/>
      <c r="K231" s="3"/>
      <c r="L231" s="5">
        <f t="shared" si="32"/>
        <v>0</v>
      </c>
      <c r="M231" s="3"/>
      <c r="N231" s="3"/>
      <c r="O231" s="5">
        <f t="shared" si="33"/>
        <v>0</v>
      </c>
      <c r="P231" s="3"/>
      <c r="Q231" s="3"/>
      <c r="R231" s="5">
        <f t="shared" si="34"/>
        <v>0</v>
      </c>
      <c r="S231" s="5">
        <f t="shared" si="35"/>
        <v>0</v>
      </c>
    </row>
    <row r="232" spans="1:19">
      <c r="A232" s="3"/>
      <c r="B232" s="3"/>
      <c r="C232" s="3"/>
      <c r="D232" s="3"/>
      <c r="E232" s="3"/>
      <c r="F232" s="3"/>
      <c r="G232" s="3"/>
      <c r="H232" s="4"/>
      <c r="I232" s="3"/>
      <c r="J232" s="3"/>
      <c r="K232" s="3"/>
      <c r="L232" s="5">
        <f t="shared" si="32"/>
        <v>0</v>
      </c>
      <c r="M232" s="3"/>
      <c r="N232" s="3"/>
      <c r="O232" s="5">
        <f t="shared" si="33"/>
        <v>0</v>
      </c>
      <c r="P232" s="3"/>
      <c r="Q232" s="3"/>
      <c r="R232" s="5">
        <f t="shared" si="34"/>
        <v>0</v>
      </c>
      <c r="S232" s="5">
        <f t="shared" si="35"/>
        <v>0</v>
      </c>
    </row>
    <row r="233" spans="1:19">
      <c r="A233" s="3"/>
      <c r="B233" s="3"/>
      <c r="C233" s="3"/>
      <c r="D233" s="3"/>
      <c r="E233" s="3"/>
      <c r="F233" s="3"/>
      <c r="G233" s="3"/>
      <c r="H233" s="4"/>
      <c r="I233" s="3"/>
      <c r="J233" s="3"/>
      <c r="K233" s="3"/>
      <c r="L233" s="5">
        <f t="shared" si="32"/>
        <v>0</v>
      </c>
      <c r="M233" s="3"/>
      <c r="N233" s="3"/>
      <c r="O233" s="5">
        <f t="shared" si="33"/>
        <v>0</v>
      </c>
      <c r="P233" s="3"/>
      <c r="Q233" s="3"/>
      <c r="R233" s="5">
        <f t="shared" si="34"/>
        <v>0</v>
      </c>
      <c r="S233" s="5">
        <f t="shared" si="35"/>
        <v>0</v>
      </c>
    </row>
    <row r="234" spans="1:19">
      <c r="A234" s="3"/>
      <c r="B234" s="3"/>
      <c r="C234" s="3"/>
      <c r="D234" s="3"/>
      <c r="E234" s="3"/>
      <c r="F234" s="3"/>
      <c r="G234" s="3"/>
      <c r="H234" s="4"/>
      <c r="I234" s="3"/>
      <c r="J234" s="3"/>
      <c r="K234" s="3"/>
      <c r="L234" s="5">
        <f t="shared" si="32"/>
        <v>0</v>
      </c>
      <c r="M234" s="3"/>
      <c r="N234" s="3"/>
      <c r="O234" s="5">
        <f t="shared" si="33"/>
        <v>0</v>
      </c>
      <c r="P234" s="3"/>
      <c r="Q234" s="3"/>
      <c r="R234" s="5">
        <f t="shared" si="34"/>
        <v>0</v>
      </c>
      <c r="S234" s="5">
        <f t="shared" si="35"/>
        <v>0</v>
      </c>
    </row>
    <row r="235" spans="1:19">
      <c r="A235" s="3"/>
      <c r="B235" s="3"/>
      <c r="C235" s="3"/>
      <c r="D235" s="3"/>
      <c r="E235" s="3"/>
      <c r="F235" s="3"/>
      <c r="G235" s="3"/>
      <c r="H235" s="4"/>
      <c r="I235" s="3"/>
      <c r="J235" s="3"/>
      <c r="K235" s="3"/>
      <c r="L235" s="5">
        <f t="shared" si="32"/>
        <v>0</v>
      </c>
      <c r="M235" s="3"/>
      <c r="N235" s="3"/>
      <c r="O235" s="5">
        <f t="shared" si="33"/>
        <v>0</v>
      </c>
      <c r="P235" s="3"/>
      <c r="Q235" s="3"/>
      <c r="R235" s="5">
        <f t="shared" si="34"/>
        <v>0</v>
      </c>
      <c r="S235" s="5">
        <f t="shared" si="35"/>
        <v>0</v>
      </c>
    </row>
    <row r="236" spans="1:19">
      <c r="A236" s="3"/>
      <c r="B236" s="3"/>
      <c r="C236" s="3"/>
      <c r="D236" s="3"/>
      <c r="E236" s="3"/>
      <c r="F236" s="3"/>
      <c r="G236" s="3"/>
      <c r="H236" s="4"/>
      <c r="I236" s="3"/>
      <c r="J236" s="3"/>
      <c r="K236" s="3"/>
      <c r="L236" s="5">
        <f t="shared" si="32"/>
        <v>0</v>
      </c>
      <c r="M236" s="3"/>
      <c r="N236" s="3"/>
      <c r="O236" s="5">
        <f t="shared" si="33"/>
        <v>0</v>
      </c>
      <c r="P236" s="3"/>
      <c r="Q236" s="3"/>
      <c r="R236" s="5">
        <f t="shared" si="34"/>
        <v>0</v>
      </c>
      <c r="S236" s="5">
        <f t="shared" si="35"/>
        <v>0</v>
      </c>
    </row>
    <row r="237" spans="1:19">
      <c r="A237" s="3"/>
      <c r="B237" s="3"/>
      <c r="C237" s="3"/>
      <c r="D237" s="3"/>
      <c r="E237" s="3"/>
      <c r="F237" s="3"/>
      <c r="G237" s="3"/>
      <c r="H237" s="4"/>
      <c r="I237" s="3"/>
      <c r="J237" s="3"/>
      <c r="K237" s="3"/>
      <c r="L237" s="5">
        <f t="shared" si="32"/>
        <v>0</v>
      </c>
      <c r="M237" s="3"/>
      <c r="N237" s="3"/>
      <c r="O237" s="5">
        <f t="shared" si="33"/>
        <v>0</v>
      </c>
      <c r="P237" s="3"/>
      <c r="Q237" s="3"/>
      <c r="R237" s="5">
        <f t="shared" si="34"/>
        <v>0</v>
      </c>
      <c r="S237" s="5">
        <f t="shared" si="35"/>
        <v>0</v>
      </c>
    </row>
    <row r="238" spans="1:19">
      <c r="A238" s="3"/>
      <c r="B238" s="3"/>
      <c r="C238" s="3"/>
      <c r="D238" s="3"/>
      <c r="E238" s="3"/>
      <c r="F238" s="3"/>
      <c r="G238" s="3"/>
      <c r="H238" s="4"/>
      <c r="I238" s="3"/>
      <c r="J238" s="3"/>
      <c r="K238" s="3"/>
      <c r="L238" s="5">
        <f t="shared" ref="L238:L269" si="36">I238-(J238*K238)</f>
        <v>0</v>
      </c>
      <c r="M238" s="3"/>
      <c r="N238" s="3"/>
      <c r="O238" s="5">
        <f t="shared" ref="O238:O269" si="37">L238-(M238*N238)</f>
        <v>0</v>
      </c>
      <c r="P238" s="3"/>
      <c r="Q238" s="3"/>
      <c r="R238" s="5">
        <f t="shared" ref="R238:R269" si="38">O238-(P238*Q238)</f>
        <v>0</v>
      </c>
      <c r="S238" s="5">
        <f t="shared" ref="S238:S269" si="39">IF(AND(A238&lt;&gt;"",OR(B238="",C238="",H238="")),1,0)+IF(AND(A238&lt;&gt;"",D238=""),1,0)+IF(AND(D238="Yes",OR(G238="",E238&lt;&gt;"",F238&lt;&gt;"")),1,0)+IF(AND(D238="No",OR(G238&lt;&gt;"",E238="")),1,0)+IF(R238&lt;&gt;0,1,0)</f>
        <v>0</v>
      </c>
    </row>
    <row r="239" spans="1:19">
      <c r="A239" s="3"/>
      <c r="B239" s="3"/>
      <c r="C239" s="3"/>
      <c r="D239" s="3"/>
      <c r="E239" s="3"/>
      <c r="F239" s="3"/>
      <c r="G239" s="3"/>
      <c r="H239" s="4"/>
      <c r="I239" s="3"/>
      <c r="J239" s="3"/>
      <c r="K239" s="3"/>
      <c r="L239" s="5">
        <f t="shared" si="36"/>
        <v>0</v>
      </c>
      <c r="M239" s="3"/>
      <c r="N239" s="3"/>
      <c r="O239" s="5">
        <f t="shared" si="37"/>
        <v>0</v>
      </c>
      <c r="P239" s="3"/>
      <c r="Q239" s="3"/>
      <c r="R239" s="5">
        <f t="shared" si="38"/>
        <v>0</v>
      </c>
      <c r="S239" s="5">
        <f t="shared" si="39"/>
        <v>0</v>
      </c>
    </row>
    <row r="240" spans="1:19">
      <c r="A240" s="3"/>
      <c r="B240" s="3"/>
      <c r="C240" s="3"/>
      <c r="D240" s="3"/>
      <c r="E240" s="3"/>
      <c r="F240" s="3"/>
      <c r="G240" s="3"/>
      <c r="H240" s="4"/>
      <c r="I240" s="3"/>
      <c r="J240" s="3"/>
      <c r="K240" s="3"/>
      <c r="L240" s="5">
        <f t="shared" si="36"/>
        <v>0</v>
      </c>
      <c r="M240" s="3"/>
      <c r="N240" s="3"/>
      <c r="O240" s="5">
        <f t="shared" si="37"/>
        <v>0</v>
      </c>
      <c r="P240" s="3"/>
      <c r="Q240" s="3"/>
      <c r="R240" s="5">
        <f t="shared" si="38"/>
        <v>0</v>
      </c>
      <c r="S240" s="5">
        <f t="shared" si="39"/>
        <v>0</v>
      </c>
    </row>
    <row r="241" spans="1:19">
      <c r="A241" s="3"/>
      <c r="B241" s="3"/>
      <c r="C241" s="3"/>
      <c r="D241" s="3"/>
      <c r="E241" s="3"/>
      <c r="F241" s="3"/>
      <c r="G241" s="3"/>
      <c r="H241" s="4"/>
      <c r="I241" s="3"/>
      <c r="J241" s="3"/>
      <c r="K241" s="3"/>
      <c r="L241" s="5">
        <f t="shared" si="36"/>
        <v>0</v>
      </c>
      <c r="M241" s="3"/>
      <c r="N241" s="3"/>
      <c r="O241" s="5">
        <f t="shared" si="37"/>
        <v>0</v>
      </c>
      <c r="P241" s="3"/>
      <c r="Q241" s="3"/>
      <c r="R241" s="5">
        <f t="shared" si="38"/>
        <v>0</v>
      </c>
      <c r="S241" s="5">
        <f t="shared" si="39"/>
        <v>0</v>
      </c>
    </row>
    <row r="242" spans="1:19">
      <c r="A242" s="3"/>
      <c r="B242" s="3"/>
      <c r="C242" s="3"/>
      <c r="D242" s="3"/>
      <c r="E242" s="3"/>
      <c r="F242" s="3"/>
      <c r="G242" s="3"/>
      <c r="H242" s="4"/>
      <c r="I242" s="3"/>
      <c r="J242" s="3"/>
      <c r="K242" s="3"/>
      <c r="L242" s="5">
        <f t="shared" si="36"/>
        <v>0</v>
      </c>
      <c r="M242" s="3"/>
      <c r="N242" s="3"/>
      <c r="O242" s="5">
        <f t="shared" si="37"/>
        <v>0</v>
      </c>
      <c r="P242" s="3"/>
      <c r="Q242" s="3"/>
      <c r="R242" s="5">
        <f t="shared" si="38"/>
        <v>0</v>
      </c>
      <c r="S242" s="5">
        <f t="shared" si="39"/>
        <v>0</v>
      </c>
    </row>
    <row r="243" spans="1:19">
      <c r="A243" s="3"/>
      <c r="B243" s="3"/>
      <c r="C243" s="3"/>
      <c r="D243" s="3"/>
      <c r="E243" s="3"/>
      <c r="F243" s="3"/>
      <c r="G243" s="3"/>
      <c r="H243" s="4"/>
      <c r="I243" s="3"/>
      <c r="J243" s="3"/>
      <c r="K243" s="3"/>
      <c r="L243" s="5">
        <f t="shared" si="36"/>
        <v>0</v>
      </c>
      <c r="M243" s="3"/>
      <c r="N243" s="3"/>
      <c r="O243" s="5">
        <f t="shared" si="37"/>
        <v>0</v>
      </c>
      <c r="P243" s="3"/>
      <c r="Q243" s="3"/>
      <c r="R243" s="5">
        <f t="shared" si="38"/>
        <v>0</v>
      </c>
      <c r="S243" s="5">
        <f t="shared" si="39"/>
        <v>0</v>
      </c>
    </row>
    <row r="244" spans="1:19">
      <c r="A244" s="3"/>
      <c r="B244" s="3"/>
      <c r="C244" s="3"/>
      <c r="D244" s="3"/>
      <c r="E244" s="3"/>
      <c r="F244" s="3"/>
      <c r="G244" s="3"/>
      <c r="H244" s="4"/>
      <c r="I244" s="3"/>
      <c r="J244" s="3"/>
      <c r="K244" s="3"/>
      <c r="L244" s="5">
        <f t="shared" si="36"/>
        <v>0</v>
      </c>
      <c r="M244" s="3"/>
      <c r="N244" s="3"/>
      <c r="O244" s="5">
        <f t="shared" si="37"/>
        <v>0</v>
      </c>
      <c r="P244" s="3"/>
      <c r="Q244" s="3"/>
      <c r="R244" s="5">
        <f t="shared" si="38"/>
        <v>0</v>
      </c>
      <c r="S244" s="5">
        <f t="shared" si="39"/>
        <v>0</v>
      </c>
    </row>
    <row r="245" spans="1:19">
      <c r="A245" s="3"/>
      <c r="B245" s="3"/>
      <c r="C245" s="3"/>
      <c r="D245" s="3"/>
      <c r="E245" s="3"/>
      <c r="F245" s="3"/>
      <c r="G245" s="3"/>
      <c r="H245" s="4"/>
      <c r="I245" s="3"/>
      <c r="J245" s="3"/>
      <c r="K245" s="3"/>
      <c r="L245" s="5">
        <f t="shared" si="36"/>
        <v>0</v>
      </c>
      <c r="M245" s="3"/>
      <c r="N245" s="3"/>
      <c r="O245" s="5">
        <f t="shared" si="37"/>
        <v>0</v>
      </c>
      <c r="P245" s="3"/>
      <c r="Q245" s="3"/>
      <c r="R245" s="5">
        <f t="shared" si="38"/>
        <v>0</v>
      </c>
      <c r="S245" s="5">
        <f t="shared" si="39"/>
        <v>0</v>
      </c>
    </row>
    <row r="246" spans="1:19">
      <c r="A246" s="3"/>
      <c r="B246" s="3"/>
      <c r="C246" s="3"/>
      <c r="D246" s="3"/>
      <c r="E246" s="3"/>
      <c r="F246" s="3"/>
      <c r="G246" s="3"/>
      <c r="H246" s="4"/>
      <c r="I246" s="3"/>
      <c r="J246" s="3"/>
      <c r="K246" s="3"/>
      <c r="L246" s="5">
        <f t="shared" si="36"/>
        <v>0</v>
      </c>
      <c r="M246" s="3"/>
      <c r="N246" s="3"/>
      <c r="O246" s="5">
        <f t="shared" si="37"/>
        <v>0</v>
      </c>
      <c r="P246" s="3"/>
      <c r="Q246" s="3"/>
      <c r="R246" s="5">
        <f t="shared" si="38"/>
        <v>0</v>
      </c>
      <c r="S246" s="5">
        <f t="shared" si="39"/>
        <v>0</v>
      </c>
    </row>
    <row r="247" spans="1:19">
      <c r="A247" s="3"/>
      <c r="B247" s="3"/>
      <c r="C247" s="3"/>
      <c r="D247" s="3"/>
      <c r="E247" s="3"/>
      <c r="F247" s="3"/>
      <c r="G247" s="3"/>
      <c r="H247" s="4"/>
      <c r="I247" s="3"/>
      <c r="J247" s="3"/>
      <c r="K247" s="3"/>
      <c r="L247" s="5">
        <f t="shared" si="36"/>
        <v>0</v>
      </c>
      <c r="M247" s="3"/>
      <c r="N247" s="3"/>
      <c r="O247" s="5">
        <f t="shared" si="37"/>
        <v>0</v>
      </c>
      <c r="P247" s="3"/>
      <c r="Q247" s="3"/>
      <c r="R247" s="5">
        <f t="shared" si="38"/>
        <v>0</v>
      </c>
      <c r="S247" s="5">
        <f t="shared" si="39"/>
        <v>0</v>
      </c>
    </row>
    <row r="248" spans="1:19">
      <c r="A248" s="3"/>
      <c r="B248" s="3"/>
      <c r="C248" s="3"/>
      <c r="D248" s="3"/>
      <c r="E248" s="3"/>
      <c r="F248" s="3"/>
      <c r="G248" s="3"/>
      <c r="H248" s="4"/>
      <c r="I248" s="3"/>
      <c r="J248" s="3"/>
      <c r="K248" s="3"/>
      <c r="L248" s="5">
        <f t="shared" si="36"/>
        <v>0</v>
      </c>
      <c r="M248" s="3"/>
      <c r="N248" s="3"/>
      <c r="O248" s="5">
        <f t="shared" si="37"/>
        <v>0</v>
      </c>
      <c r="P248" s="3"/>
      <c r="Q248" s="3"/>
      <c r="R248" s="5">
        <f t="shared" si="38"/>
        <v>0</v>
      </c>
      <c r="S248" s="5">
        <f t="shared" si="39"/>
        <v>0</v>
      </c>
    </row>
    <row r="249" spans="1:19">
      <c r="A249" s="3"/>
      <c r="B249" s="3"/>
      <c r="C249" s="3"/>
      <c r="D249" s="3"/>
      <c r="E249" s="3"/>
      <c r="F249" s="3"/>
      <c r="G249" s="3"/>
      <c r="H249" s="4"/>
      <c r="I249" s="3"/>
      <c r="J249" s="3"/>
      <c r="K249" s="3"/>
      <c r="L249" s="5">
        <f t="shared" si="36"/>
        <v>0</v>
      </c>
      <c r="M249" s="3"/>
      <c r="N249" s="3"/>
      <c r="O249" s="5">
        <f t="shared" si="37"/>
        <v>0</v>
      </c>
      <c r="P249" s="3"/>
      <c r="Q249" s="3"/>
      <c r="R249" s="5">
        <f t="shared" si="38"/>
        <v>0</v>
      </c>
      <c r="S249" s="5">
        <f t="shared" si="39"/>
        <v>0</v>
      </c>
    </row>
    <row r="250" spans="1:19">
      <c r="A250" s="3"/>
      <c r="B250" s="3"/>
      <c r="C250" s="3"/>
      <c r="D250" s="3"/>
      <c r="E250" s="3"/>
      <c r="F250" s="3"/>
      <c r="G250" s="3"/>
      <c r="H250" s="4"/>
      <c r="I250" s="3"/>
      <c r="J250" s="3"/>
      <c r="K250" s="3"/>
      <c r="L250" s="5">
        <f t="shared" si="36"/>
        <v>0</v>
      </c>
      <c r="M250" s="3"/>
      <c r="N250" s="3"/>
      <c r="O250" s="5">
        <f t="shared" si="37"/>
        <v>0</v>
      </c>
      <c r="P250" s="3"/>
      <c r="Q250" s="3"/>
      <c r="R250" s="5">
        <f t="shared" si="38"/>
        <v>0</v>
      </c>
      <c r="S250" s="5">
        <f t="shared" si="39"/>
        <v>0</v>
      </c>
    </row>
    <row r="251" spans="1:19">
      <c r="A251" s="3"/>
      <c r="B251" s="3"/>
      <c r="C251" s="3"/>
      <c r="D251" s="3"/>
      <c r="E251" s="3"/>
      <c r="F251" s="3"/>
      <c r="G251" s="3"/>
      <c r="H251" s="4"/>
      <c r="I251" s="3"/>
      <c r="J251" s="3"/>
      <c r="K251" s="3"/>
      <c r="L251" s="5">
        <f t="shared" si="36"/>
        <v>0</v>
      </c>
      <c r="M251" s="3"/>
      <c r="N251" s="3"/>
      <c r="O251" s="5">
        <f t="shared" si="37"/>
        <v>0</v>
      </c>
      <c r="P251" s="3"/>
      <c r="Q251" s="3"/>
      <c r="R251" s="5">
        <f t="shared" si="38"/>
        <v>0</v>
      </c>
      <c r="S251" s="5">
        <f t="shared" si="39"/>
        <v>0</v>
      </c>
    </row>
    <row r="252" spans="1:19">
      <c r="A252" s="3"/>
      <c r="B252" s="3"/>
      <c r="C252" s="3"/>
      <c r="D252" s="3"/>
      <c r="E252" s="3"/>
      <c r="F252" s="3"/>
      <c r="G252" s="3"/>
      <c r="H252" s="4"/>
      <c r="I252" s="3"/>
      <c r="J252" s="3"/>
      <c r="K252" s="3"/>
      <c r="L252" s="5">
        <f t="shared" si="36"/>
        <v>0</v>
      </c>
      <c r="M252" s="3"/>
      <c r="N252" s="3"/>
      <c r="O252" s="5">
        <f t="shared" si="37"/>
        <v>0</v>
      </c>
      <c r="P252" s="3"/>
      <c r="Q252" s="3"/>
      <c r="R252" s="5">
        <f t="shared" si="38"/>
        <v>0</v>
      </c>
      <c r="S252" s="5">
        <f t="shared" si="39"/>
        <v>0</v>
      </c>
    </row>
    <row r="253" spans="1:19">
      <c r="A253" s="3"/>
      <c r="B253" s="3"/>
      <c r="C253" s="3"/>
      <c r="D253" s="3"/>
      <c r="E253" s="3"/>
      <c r="F253" s="3"/>
      <c r="G253" s="3"/>
      <c r="H253" s="4"/>
      <c r="I253" s="3"/>
      <c r="J253" s="3"/>
      <c r="K253" s="3"/>
      <c r="L253" s="5">
        <f t="shared" si="36"/>
        <v>0</v>
      </c>
      <c r="M253" s="3"/>
      <c r="N253" s="3"/>
      <c r="O253" s="5">
        <f t="shared" si="37"/>
        <v>0</v>
      </c>
      <c r="P253" s="3"/>
      <c r="Q253" s="3"/>
      <c r="R253" s="5">
        <f t="shared" si="38"/>
        <v>0</v>
      </c>
      <c r="S253" s="5">
        <f t="shared" si="39"/>
        <v>0</v>
      </c>
    </row>
    <row r="254" spans="1:19">
      <c r="A254" s="3"/>
      <c r="B254" s="3"/>
      <c r="C254" s="3"/>
      <c r="D254" s="3"/>
      <c r="E254" s="3"/>
      <c r="F254" s="3"/>
      <c r="G254" s="3"/>
      <c r="H254" s="4"/>
      <c r="I254" s="3"/>
      <c r="J254" s="3"/>
      <c r="K254" s="3"/>
      <c r="L254" s="5">
        <f t="shared" si="36"/>
        <v>0</v>
      </c>
      <c r="M254" s="3"/>
      <c r="N254" s="3"/>
      <c r="O254" s="5">
        <f t="shared" si="37"/>
        <v>0</v>
      </c>
      <c r="P254" s="3"/>
      <c r="Q254" s="3"/>
      <c r="R254" s="5">
        <f t="shared" si="38"/>
        <v>0</v>
      </c>
      <c r="S254" s="5">
        <f t="shared" si="39"/>
        <v>0</v>
      </c>
    </row>
    <row r="255" spans="1:19">
      <c r="A255" s="3"/>
      <c r="B255" s="3"/>
      <c r="C255" s="3"/>
      <c r="D255" s="3"/>
      <c r="E255" s="3"/>
      <c r="F255" s="3"/>
      <c r="G255" s="3"/>
      <c r="H255" s="4"/>
      <c r="I255" s="3"/>
      <c r="J255" s="3"/>
      <c r="K255" s="3"/>
      <c r="L255" s="5">
        <f t="shared" si="36"/>
        <v>0</v>
      </c>
      <c r="M255" s="3"/>
      <c r="N255" s="3"/>
      <c r="O255" s="5">
        <f t="shared" si="37"/>
        <v>0</v>
      </c>
      <c r="P255" s="3"/>
      <c r="Q255" s="3"/>
      <c r="R255" s="5">
        <f t="shared" si="38"/>
        <v>0</v>
      </c>
      <c r="S255" s="5">
        <f t="shared" si="39"/>
        <v>0</v>
      </c>
    </row>
    <row r="256" spans="1:19">
      <c r="A256" s="3"/>
      <c r="B256" s="3"/>
      <c r="C256" s="3"/>
      <c r="D256" s="3"/>
      <c r="E256" s="3"/>
      <c r="F256" s="3"/>
      <c r="G256" s="3"/>
      <c r="H256" s="4"/>
      <c r="I256" s="3"/>
      <c r="J256" s="3"/>
      <c r="K256" s="3"/>
      <c r="L256" s="5">
        <f t="shared" si="36"/>
        <v>0</v>
      </c>
      <c r="M256" s="3"/>
      <c r="N256" s="3"/>
      <c r="O256" s="5">
        <f t="shared" si="37"/>
        <v>0</v>
      </c>
      <c r="P256" s="3"/>
      <c r="Q256" s="3"/>
      <c r="R256" s="5">
        <f t="shared" si="38"/>
        <v>0</v>
      </c>
      <c r="S256" s="5">
        <f t="shared" si="39"/>
        <v>0</v>
      </c>
    </row>
    <row r="257" spans="1:19">
      <c r="A257" s="3"/>
      <c r="B257" s="3"/>
      <c r="C257" s="3"/>
      <c r="D257" s="3"/>
      <c r="E257" s="3"/>
      <c r="F257" s="3"/>
      <c r="G257" s="3"/>
      <c r="H257" s="4"/>
      <c r="I257" s="3"/>
      <c r="J257" s="3"/>
      <c r="K257" s="3"/>
      <c r="L257" s="5">
        <f t="shared" si="36"/>
        <v>0</v>
      </c>
      <c r="M257" s="3"/>
      <c r="N257" s="3"/>
      <c r="O257" s="5">
        <f t="shared" si="37"/>
        <v>0</v>
      </c>
      <c r="P257" s="3"/>
      <c r="Q257" s="3"/>
      <c r="R257" s="5">
        <f t="shared" si="38"/>
        <v>0</v>
      </c>
      <c r="S257" s="5">
        <f t="shared" si="39"/>
        <v>0</v>
      </c>
    </row>
    <row r="258" spans="1:19">
      <c r="A258" s="3"/>
      <c r="B258" s="3"/>
      <c r="C258" s="3"/>
      <c r="D258" s="3"/>
      <c r="E258" s="3"/>
      <c r="F258" s="3"/>
      <c r="G258" s="3"/>
      <c r="H258" s="4"/>
      <c r="I258" s="3"/>
      <c r="J258" s="3"/>
      <c r="K258" s="3"/>
      <c r="L258" s="5">
        <f t="shared" si="36"/>
        <v>0</v>
      </c>
      <c r="M258" s="3"/>
      <c r="N258" s="3"/>
      <c r="O258" s="5">
        <f t="shared" si="37"/>
        <v>0</v>
      </c>
      <c r="P258" s="3"/>
      <c r="Q258" s="3"/>
      <c r="R258" s="5">
        <f t="shared" si="38"/>
        <v>0</v>
      </c>
      <c r="S258" s="5">
        <f t="shared" si="39"/>
        <v>0</v>
      </c>
    </row>
    <row r="259" spans="1:19">
      <c r="A259" s="3"/>
      <c r="B259" s="3"/>
      <c r="C259" s="3"/>
      <c r="D259" s="3"/>
      <c r="E259" s="3"/>
      <c r="F259" s="3"/>
      <c r="G259" s="3"/>
      <c r="H259" s="4"/>
      <c r="I259" s="3"/>
      <c r="J259" s="3"/>
      <c r="K259" s="3"/>
      <c r="L259" s="5">
        <f t="shared" si="36"/>
        <v>0</v>
      </c>
      <c r="M259" s="3"/>
      <c r="N259" s="3"/>
      <c r="O259" s="5">
        <f t="shared" si="37"/>
        <v>0</v>
      </c>
      <c r="P259" s="3"/>
      <c r="Q259" s="3"/>
      <c r="R259" s="5">
        <f t="shared" si="38"/>
        <v>0</v>
      </c>
      <c r="S259" s="5">
        <f t="shared" si="39"/>
        <v>0</v>
      </c>
    </row>
    <row r="260" spans="1:19">
      <c r="A260" s="3"/>
      <c r="B260" s="3"/>
      <c r="C260" s="3"/>
      <c r="D260" s="3"/>
      <c r="E260" s="3"/>
      <c r="F260" s="3"/>
      <c r="G260" s="3"/>
      <c r="H260" s="4"/>
      <c r="I260" s="3"/>
      <c r="J260" s="3"/>
      <c r="K260" s="3"/>
      <c r="L260" s="5">
        <f t="shared" si="36"/>
        <v>0</v>
      </c>
      <c r="M260" s="3"/>
      <c r="N260" s="3"/>
      <c r="O260" s="5">
        <f t="shared" si="37"/>
        <v>0</v>
      </c>
      <c r="P260" s="3"/>
      <c r="Q260" s="3"/>
      <c r="R260" s="5">
        <f t="shared" si="38"/>
        <v>0</v>
      </c>
      <c r="S260" s="5">
        <f t="shared" si="39"/>
        <v>0</v>
      </c>
    </row>
    <row r="261" spans="1:19">
      <c r="A261" s="3"/>
      <c r="B261" s="3"/>
      <c r="C261" s="3"/>
      <c r="D261" s="3"/>
      <c r="E261" s="3"/>
      <c r="F261" s="3"/>
      <c r="G261" s="3"/>
      <c r="H261" s="4"/>
      <c r="I261" s="3"/>
      <c r="J261" s="3"/>
      <c r="K261" s="3"/>
      <c r="L261" s="5">
        <f t="shared" si="36"/>
        <v>0</v>
      </c>
      <c r="M261" s="3"/>
      <c r="N261" s="3"/>
      <c r="O261" s="5">
        <f t="shared" si="37"/>
        <v>0</v>
      </c>
      <c r="P261" s="3"/>
      <c r="Q261" s="3"/>
      <c r="R261" s="5">
        <f t="shared" si="38"/>
        <v>0</v>
      </c>
      <c r="S261" s="5">
        <f t="shared" si="39"/>
        <v>0</v>
      </c>
    </row>
    <row r="262" spans="1:19">
      <c r="A262" s="3"/>
      <c r="B262" s="3"/>
      <c r="C262" s="3"/>
      <c r="D262" s="3"/>
      <c r="E262" s="3"/>
      <c r="F262" s="3"/>
      <c r="G262" s="3"/>
      <c r="H262" s="4"/>
      <c r="I262" s="3"/>
      <c r="J262" s="3"/>
      <c r="K262" s="3"/>
      <c r="L262" s="5">
        <f t="shared" si="36"/>
        <v>0</v>
      </c>
      <c r="M262" s="3"/>
      <c r="N262" s="3"/>
      <c r="O262" s="5">
        <f t="shared" si="37"/>
        <v>0</v>
      </c>
      <c r="P262" s="3"/>
      <c r="Q262" s="3"/>
      <c r="R262" s="5">
        <f t="shared" si="38"/>
        <v>0</v>
      </c>
      <c r="S262" s="5">
        <f t="shared" si="39"/>
        <v>0</v>
      </c>
    </row>
    <row r="263" spans="1:19">
      <c r="A263" s="3"/>
      <c r="B263" s="3"/>
      <c r="C263" s="3"/>
      <c r="D263" s="3"/>
      <c r="E263" s="3"/>
      <c r="F263" s="3"/>
      <c r="G263" s="3"/>
      <c r="H263" s="4"/>
      <c r="I263" s="3"/>
      <c r="J263" s="3"/>
      <c r="K263" s="3"/>
      <c r="L263" s="5">
        <f t="shared" si="36"/>
        <v>0</v>
      </c>
      <c r="M263" s="3"/>
      <c r="N263" s="3"/>
      <c r="O263" s="5">
        <f t="shared" si="37"/>
        <v>0</v>
      </c>
      <c r="P263" s="3"/>
      <c r="Q263" s="3"/>
      <c r="R263" s="5">
        <f t="shared" si="38"/>
        <v>0</v>
      </c>
      <c r="S263" s="5">
        <f t="shared" si="39"/>
        <v>0</v>
      </c>
    </row>
    <row r="264" spans="1:19">
      <c r="A264" s="3"/>
      <c r="B264" s="3"/>
      <c r="C264" s="3"/>
      <c r="D264" s="3"/>
      <c r="E264" s="3"/>
      <c r="F264" s="3"/>
      <c r="G264" s="3"/>
      <c r="H264" s="4"/>
      <c r="I264" s="3"/>
      <c r="J264" s="3"/>
      <c r="K264" s="3"/>
      <c r="L264" s="5">
        <f t="shared" si="36"/>
        <v>0</v>
      </c>
      <c r="M264" s="3"/>
      <c r="N264" s="3"/>
      <c r="O264" s="5">
        <f t="shared" si="37"/>
        <v>0</v>
      </c>
      <c r="P264" s="3"/>
      <c r="Q264" s="3"/>
      <c r="R264" s="5">
        <f t="shared" si="38"/>
        <v>0</v>
      </c>
      <c r="S264" s="5">
        <f t="shared" si="39"/>
        <v>0</v>
      </c>
    </row>
    <row r="265" spans="1:19">
      <c r="A265" s="3"/>
      <c r="B265" s="3"/>
      <c r="C265" s="3"/>
      <c r="D265" s="3"/>
      <c r="E265" s="3"/>
      <c r="F265" s="3"/>
      <c r="G265" s="3"/>
      <c r="H265" s="4"/>
      <c r="I265" s="3"/>
      <c r="J265" s="3"/>
      <c r="K265" s="3"/>
      <c r="L265" s="5">
        <f t="shared" si="36"/>
        <v>0</v>
      </c>
      <c r="M265" s="3"/>
      <c r="N265" s="3"/>
      <c r="O265" s="5">
        <f t="shared" si="37"/>
        <v>0</v>
      </c>
      <c r="P265" s="3"/>
      <c r="Q265" s="3"/>
      <c r="R265" s="5">
        <f t="shared" si="38"/>
        <v>0</v>
      </c>
      <c r="S265" s="5">
        <f t="shared" si="39"/>
        <v>0</v>
      </c>
    </row>
    <row r="266" spans="1:19">
      <c r="A266" s="3"/>
      <c r="B266" s="3"/>
      <c r="C266" s="3"/>
      <c r="D266" s="3"/>
      <c r="E266" s="3"/>
      <c r="F266" s="3"/>
      <c r="G266" s="3"/>
      <c r="H266" s="4"/>
      <c r="I266" s="3"/>
      <c r="J266" s="3"/>
      <c r="K266" s="3"/>
      <c r="L266" s="5">
        <f t="shared" si="36"/>
        <v>0</v>
      </c>
      <c r="M266" s="3"/>
      <c r="N266" s="3"/>
      <c r="O266" s="5">
        <f t="shared" si="37"/>
        <v>0</v>
      </c>
      <c r="P266" s="3"/>
      <c r="Q266" s="3"/>
      <c r="R266" s="5">
        <f t="shared" si="38"/>
        <v>0</v>
      </c>
      <c r="S266" s="5">
        <f t="shared" si="39"/>
        <v>0</v>
      </c>
    </row>
    <row r="267" spans="1:19">
      <c r="A267" s="3"/>
      <c r="B267" s="3"/>
      <c r="C267" s="3"/>
      <c r="D267" s="3"/>
      <c r="E267" s="3"/>
      <c r="F267" s="3"/>
      <c r="G267" s="3"/>
      <c r="H267" s="4"/>
      <c r="I267" s="3"/>
      <c r="J267" s="3"/>
      <c r="K267" s="3"/>
      <c r="L267" s="5">
        <f t="shared" si="36"/>
        <v>0</v>
      </c>
      <c r="M267" s="3"/>
      <c r="N267" s="3"/>
      <c r="O267" s="5">
        <f t="shared" si="37"/>
        <v>0</v>
      </c>
      <c r="P267" s="3"/>
      <c r="Q267" s="3"/>
      <c r="R267" s="5">
        <f t="shared" si="38"/>
        <v>0</v>
      </c>
      <c r="S267" s="5">
        <f t="shared" si="39"/>
        <v>0</v>
      </c>
    </row>
    <row r="268" spans="1:19">
      <c r="A268" s="3"/>
      <c r="B268" s="3"/>
      <c r="C268" s="3"/>
      <c r="D268" s="3"/>
      <c r="E268" s="3"/>
      <c r="F268" s="3"/>
      <c r="G268" s="3"/>
      <c r="H268" s="4"/>
      <c r="I268" s="3"/>
      <c r="J268" s="3"/>
      <c r="K268" s="3"/>
      <c r="L268" s="5">
        <f t="shared" si="36"/>
        <v>0</v>
      </c>
      <c r="M268" s="3"/>
      <c r="N268" s="3"/>
      <c r="O268" s="5">
        <f t="shared" si="37"/>
        <v>0</v>
      </c>
      <c r="P268" s="3"/>
      <c r="Q268" s="3"/>
      <c r="R268" s="5">
        <f t="shared" si="38"/>
        <v>0</v>
      </c>
      <c r="S268" s="5">
        <f t="shared" si="39"/>
        <v>0</v>
      </c>
    </row>
    <row r="269" spans="1:19">
      <c r="A269" s="3"/>
      <c r="B269" s="3"/>
      <c r="C269" s="3"/>
      <c r="D269" s="3"/>
      <c r="E269" s="3"/>
      <c r="F269" s="3"/>
      <c r="G269" s="3"/>
      <c r="H269" s="4"/>
      <c r="I269" s="3"/>
      <c r="J269" s="3"/>
      <c r="K269" s="3"/>
      <c r="L269" s="5">
        <f t="shared" si="36"/>
        <v>0</v>
      </c>
      <c r="M269" s="3"/>
      <c r="N269" s="3"/>
      <c r="O269" s="5">
        <f t="shared" si="37"/>
        <v>0</v>
      </c>
      <c r="P269" s="3"/>
      <c r="Q269" s="3"/>
      <c r="R269" s="5">
        <f t="shared" si="38"/>
        <v>0</v>
      </c>
      <c r="S269" s="5">
        <f t="shared" si="39"/>
        <v>0</v>
      </c>
    </row>
    <row r="270" spans="1:19">
      <c r="A270" s="3"/>
      <c r="B270" s="3"/>
      <c r="C270" s="3"/>
      <c r="D270" s="3"/>
      <c r="E270" s="3"/>
      <c r="F270" s="3"/>
      <c r="G270" s="3"/>
      <c r="H270" s="4"/>
      <c r="I270" s="3"/>
      <c r="J270" s="3"/>
      <c r="K270" s="3"/>
      <c r="L270" s="5">
        <f t="shared" ref="L270:L301" si="40">I270-(J270*K270)</f>
        <v>0</v>
      </c>
      <c r="M270" s="3"/>
      <c r="N270" s="3"/>
      <c r="O270" s="5">
        <f t="shared" ref="O270:O301" si="41">L270-(M270*N270)</f>
        <v>0</v>
      </c>
      <c r="P270" s="3"/>
      <c r="Q270" s="3"/>
      <c r="R270" s="5">
        <f t="shared" ref="R270:R301" si="42">O270-(P270*Q270)</f>
        <v>0</v>
      </c>
      <c r="S270" s="5">
        <f t="shared" ref="S270:S301" si="43">IF(AND(A270&lt;&gt;"",OR(B270="",C270="",H270="")),1,0)+IF(AND(A270&lt;&gt;"",D270=""),1,0)+IF(AND(D270="Yes",OR(G270="",E270&lt;&gt;"",F270&lt;&gt;"")),1,0)+IF(AND(D270="No",OR(G270&lt;&gt;"",E270="")),1,0)+IF(R270&lt;&gt;0,1,0)</f>
        <v>0</v>
      </c>
    </row>
    <row r="271" spans="1:19">
      <c r="A271" s="3"/>
      <c r="B271" s="3"/>
      <c r="C271" s="3"/>
      <c r="D271" s="3"/>
      <c r="E271" s="3"/>
      <c r="F271" s="3"/>
      <c r="G271" s="3"/>
      <c r="H271" s="4"/>
      <c r="I271" s="3"/>
      <c r="J271" s="3"/>
      <c r="K271" s="3"/>
      <c r="L271" s="5">
        <f t="shared" si="40"/>
        <v>0</v>
      </c>
      <c r="M271" s="3"/>
      <c r="N271" s="3"/>
      <c r="O271" s="5">
        <f t="shared" si="41"/>
        <v>0</v>
      </c>
      <c r="P271" s="3"/>
      <c r="Q271" s="3"/>
      <c r="R271" s="5">
        <f t="shared" si="42"/>
        <v>0</v>
      </c>
      <c r="S271" s="5">
        <f t="shared" si="43"/>
        <v>0</v>
      </c>
    </row>
    <row r="272" spans="1:19">
      <c r="A272" s="3"/>
      <c r="B272" s="3"/>
      <c r="C272" s="3"/>
      <c r="D272" s="3"/>
      <c r="E272" s="3"/>
      <c r="F272" s="3"/>
      <c r="G272" s="3"/>
      <c r="H272" s="4"/>
      <c r="I272" s="3"/>
      <c r="J272" s="3"/>
      <c r="K272" s="3"/>
      <c r="L272" s="5">
        <f t="shared" si="40"/>
        <v>0</v>
      </c>
      <c r="M272" s="3"/>
      <c r="N272" s="3"/>
      <c r="O272" s="5">
        <f t="shared" si="41"/>
        <v>0</v>
      </c>
      <c r="P272" s="3"/>
      <c r="Q272" s="3"/>
      <c r="R272" s="5">
        <f t="shared" si="42"/>
        <v>0</v>
      </c>
      <c r="S272" s="5">
        <f t="shared" si="43"/>
        <v>0</v>
      </c>
    </row>
    <row r="273" spans="1:19">
      <c r="A273" s="3"/>
      <c r="B273" s="3"/>
      <c r="C273" s="3"/>
      <c r="D273" s="3"/>
      <c r="E273" s="3"/>
      <c r="F273" s="3"/>
      <c r="G273" s="3"/>
      <c r="H273" s="4"/>
      <c r="I273" s="3"/>
      <c r="J273" s="3"/>
      <c r="K273" s="3"/>
      <c r="L273" s="5">
        <f t="shared" si="40"/>
        <v>0</v>
      </c>
      <c r="M273" s="3"/>
      <c r="N273" s="3"/>
      <c r="O273" s="5">
        <f t="shared" si="41"/>
        <v>0</v>
      </c>
      <c r="P273" s="3"/>
      <c r="Q273" s="3"/>
      <c r="R273" s="5">
        <f t="shared" si="42"/>
        <v>0</v>
      </c>
      <c r="S273" s="5">
        <f t="shared" si="43"/>
        <v>0</v>
      </c>
    </row>
    <row r="274" spans="1:19">
      <c r="A274" s="3"/>
      <c r="B274" s="3"/>
      <c r="C274" s="3"/>
      <c r="D274" s="3"/>
      <c r="E274" s="3"/>
      <c r="F274" s="3"/>
      <c r="G274" s="3"/>
      <c r="H274" s="4"/>
      <c r="I274" s="3"/>
      <c r="J274" s="3"/>
      <c r="K274" s="3"/>
      <c r="L274" s="5">
        <f t="shared" si="40"/>
        <v>0</v>
      </c>
      <c r="M274" s="3"/>
      <c r="N274" s="3"/>
      <c r="O274" s="5">
        <f t="shared" si="41"/>
        <v>0</v>
      </c>
      <c r="P274" s="3"/>
      <c r="Q274" s="3"/>
      <c r="R274" s="5">
        <f t="shared" si="42"/>
        <v>0</v>
      </c>
      <c r="S274" s="5">
        <f t="shared" si="43"/>
        <v>0</v>
      </c>
    </row>
    <row r="275" spans="1:19">
      <c r="A275" s="3"/>
      <c r="B275" s="3"/>
      <c r="C275" s="3"/>
      <c r="D275" s="3"/>
      <c r="E275" s="3"/>
      <c r="F275" s="3"/>
      <c r="G275" s="3"/>
      <c r="H275" s="4"/>
      <c r="I275" s="3"/>
      <c r="J275" s="3"/>
      <c r="K275" s="3"/>
      <c r="L275" s="5">
        <f t="shared" si="40"/>
        <v>0</v>
      </c>
      <c r="M275" s="3"/>
      <c r="N275" s="3"/>
      <c r="O275" s="5">
        <f t="shared" si="41"/>
        <v>0</v>
      </c>
      <c r="P275" s="3"/>
      <c r="Q275" s="3"/>
      <c r="R275" s="5">
        <f t="shared" si="42"/>
        <v>0</v>
      </c>
      <c r="S275" s="5">
        <f t="shared" si="43"/>
        <v>0</v>
      </c>
    </row>
    <row r="276" spans="1:19">
      <c r="A276" s="3"/>
      <c r="B276" s="3"/>
      <c r="C276" s="3"/>
      <c r="D276" s="3"/>
      <c r="E276" s="3"/>
      <c r="F276" s="3"/>
      <c r="G276" s="3"/>
      <c r="H276" s="4"/>
      <c r="I276" s="3"/>
      <c r="J276" s="3"/>
      <c r="K276" s="3"/>
      <c r="L276" s="5">
        <f t="shared" si="40"/>
        <v>0</v>
      </c>
      <c r="M276" s="3"/>
      <c r="N276" s="3"/>
      <c r="O276" s="5">
        <f t="shared" si="41"/>
        <v>0</v>
      </c>
      <c r="P276" s="3"/>
      <c r="Q276" s="3"/>
      <c r="R276" s="5">
        <f t="shared" si="42"/>
        <v>0</v>
      </c>
      <c r="S276" s="5">
        <f t="shared" si="43"/>
        <v>0</v>
      </c>
    </row>
    <row r="277" spans="1:19">
      <c r="A277" s="3"/>
      <c r="B277" s="3"/>
      <c r="C277" s="3"/>
      <c r="D277" s="3"/>
      <c r="E277" s="3"/>
      <c r="F277" s="3"/>
      <c r="G277" s="3"/>
      <c r="H277" s="4"/>
      <c r="I277" s="3"/>
      <c r="J277" s="3"/>
      <c r="K277" s="3"/>
      <c r="L277" s="5">
        <f t="shared" si="40"/>
        <v>0</v>
      </c>
      <c r="M277" s="3"/>
      <c r="N277" s="3"/>
      <c r="O277" s="5">
        <f t="shared" si="41"/>
        <v>0</v>
      </c>
      <c r="P277" s="3"/>
      <c r="Q277" s="3"/>
      <c r="R277" s="5">
        <f t="shared" si="42"/>
        <v>0</v>
      </c>
      <c r="S277" s="5">
        <f t="shared" si="43"/>
        <v>0</v>
      </c>
    </row>
    <row r="278" spans="1:19">
      <c r="A278" s="3"/>
      <c r="B278" s="3"/>
      <c r="C278" s="3"/>
      <c r="D278" s="3"/>
      <c r="E278" s="3"/>
      <c r="F278" s="3"/>
      <c r="G278" s="3"/>
      <c r="H278" s="4"/>
      <c r="I278" s="3"/>
      <c r="J278" s="3"/>
      <c r="K278" s="3"/>
      <c r="L278" s="5">
        <f t="shared" si="40"/>
        <v>0</v>
      </c>
      <c r="M278" s="3"/>
      <c r="N278" s="3"/>
      <c r="O278" s="5">
        <f t="shared" si="41"/>
        <v>0</v>
      </c>
      <c r="P278" s="3"/>
      <c r="Q278" s="3"/>
      <c r="R278" s="5">
        <f t="shared" si="42"/>
        <v>0</v>
      </c>
      <c r="S278" s="5">
        <f t="shared" si="43"/>
        <v>0</v>
      </c>
    </row>
    <row r="279" spans="1:19">
      <c r="A279" s="3"/>
      <c r="B279" s="3"/>
      <c r="C279" s="3"/>
      <c r="D279" s="3"/>
      <c r="E279" s="3"/>
      <c r="F279" s="3"/>
      <c r="G279" s="3"/>
      <c r="H279" s="4"/>
      <c r="I279" s="3"/>
      <c r="J279" s="3"/>
      <c r="K279" s="3"/>
      <c r="L279" s="5">
        <f t="shared" si="40"/>
        <v>0</v>
      </c>
      <c r="M279" s="3"/>
      <c r="N279" s="3"/>
      <c r="O279" s="5">
        <f t="shared" si="41"/>
        <v>0</v>
      </c>
      <c r="P279" s="3"/>
      <c r="Q279" s="3"/>
      <c r="R279" s="5">
        <f t="shared" si="42"/>
        <v>0</v>
      </c>
      <c r="S279" s="5">
        <f t="shared" si="43"/>
        <v>0</v>
      </c>
    </row>
    <row r="280" spans="1:19">
      <c r="A280" s="3"/>
      <c r="B280" s="3"/>
      <c r="C280" s="3"/>
      <c r="D280" s="3"/>
      <c r="E280" s="3"/>
      <c r="F280" s="3"/>
      <c r="G280" s="3"/>
      <c r="H280" s="4"/>
      <c r="I280" s="3"/>
      <c r="J280" s="3"/>
      <c r="K280" s="3"/>
      <c r="L280" s="5">
        <f t="shared" si="40"/>
        <v>0</v>
      </c>
      <c r="M280" s="3"/>
      <c r="N280" s="3"/>
      <c r="O280" s="5">
        <f t="shared" si="41"/>
        <v>0</v>
      </c>
      <c r="P280" s="3"/>
      <c r="Q280" s="3"/>
      <c r="R280" s="5">
        <f t="shared" si="42"/>
        <v>0</v>
      </c>
      <c r="S280" s="5">
        <f t="shared" si="43"/>
        <v>0</v>
      </c>
    </row>
    <row r="281" spans="1:19">
      <c r="A281" s="3"/>
      <c r="B281" s="3"/>
      <c r="C281" s="3"/>
      <c r="D281" s="3"/>
      <c r="E281" s="3"/>
      <c r="F281" s="3"/>
      <c r="G281" s="3"/>
      <c r="H281" s="4"/>
      <c r="I281" s="3"/>
      <c r="J281" s="3"/>
      <c r="K281" s="3"/>
      <c r="L281" s="5">
        <f t="shared" si="40"/>
        <v>0</v>
      </c>
      <c r="M281" s="3"/>
      <c r="N281" s="3"/>
      <c r="O281" s="5">
        <f t="shared" si="41"/>
        <v>0</v>
      </c>
      <c r="P281" s="3"/>
      <c r="Q281" s="3"/>
      <c r="R281" s="5">
        <f t="shared" si="42"/>
        <v>0</v>
      </c>
      <c r="S281" s="5">
        <f t="shared" si="43"/>
        <v>0</v>
      </c>
    </row>
    <row r="282" spans="1:19">
      <c r="A282" s="3"/>
      <c r="B282" s="3"/>
      <c r="C282" s="3"/>
      <c r="D282" s="3"/>
      <c r="E282" s="3"/>
      <c r="F282" s="3"/>
      <c r="G282" s="3"/>
      <c r="H282" s="4"/>
      <c r="I282" s="3"/>
      <c r="J282" s="3"/>
      <c r="K282" s="3"/>
      <c r="L282" s="5">
        <f t="shared" si="40"/>
        <v>0</v>
      </c>
      <c r="M282" s="3"/>
      <c r="N282" s="3"/>
      <c r="O282" s="5">
        <f t="shared" si="41"/>
        <v>0</v>
      </c>
      <c r="P282" s="3"/>
      <c r="Q282" s="3"/>
      <c r="R282" s="5">
        <f t="shared" si="42"/>
        <v>0</v>
      </c>
      <c r="S282" s="5">
        <f t="shared" si="43"/>
        <v>0</v>
      </c>
    </row>
    <row r="283" spans="1:19">
      <c r="A283" s="3"/>
      <c r="B283" s="3"/>
      <c r="C283" s="3"/>
      <c r="D283" s="3"/>
      <c r="E283" s="3"/>
      <c r="F283" s="3"/>
      <c r="G283" s="3"/>
      <c r="H283" s="4"/>
      <c r="I283" s="3"/>
      <c r="J283" s="3"/>
      <c r="K283" s="3"/>
      <c r="L283" s="5">
        <f t="shared" si="40"/>
        <v>0</v>
      </c>
      <c r="M283" s="3"/>
      <c r="N283" s="3"/>
      <c r="O283" s="5">
        <f t="shared" si="41"/>
        <v>0</v>
      </c>
      <c r="P283" s="3"/>
      <c r="Q283" s="3"/>
      <c r="R283" s="5">
        <f t="shared" si="42"/>
        <v>0</v>
      </c>
      <c r="S283" s="5">
        <f t="shared" si="43"/>
        <v>0</v>
      </c>
    </row>
    <row r="284" spans="1:19">
      <c r="A284" s="3"/>
      <c r="B284" s="3"/>
      <c r="C284" s="3"/>
      <c r="D284" s="3"/>
      <c r="E284" s="3"/>
      <c r="F284" s="3"/>
      <c r="G284" s="3"/>
      <c r="H284" s="4"/>
      <c r="I284" s="3"/>
      <c r="J284" s="3"/>
      <c r="K284" s="3"/>
      <c r="L284" s="5">
        <f t="shared" si="40"/>
        <v>0</v>
      </c>
      <c r="M284" s="3"/>
      <c r="N284" s="3"/>
      <c r="O284" s="5">
        <f t="shared" si="41"/>
        <v>0</v>
      </c>
      <c r="P284" s="3"/>
      <c r="Q284" s="3"/>
      <c r="R284" s="5">
        <f t="shared" si="42"/>
        <v>0</v>
      </c>
      <c r="S284" s="5">
        <f t="shared" si="43"/>
        <v>0</v>
      </c>
    </row>
    <row r="285" spans="1:19">
      <c r="A285" s="3"/>
      <c r="B285" s="3"/>
      <c r="C285" s="3"/>
      <c r="D285" s="3"/>
      <c r="E285" s="3"/>
      <c r="F285" s="3"/>
      <c r="G285" s="3"/>
      <c r="H285" s="4"/>
      <c r="I285" s="3"/>
      <c r="J285" s="3"/>
      <c r="K285" s="3"/>
      <c r="L285" s="5">
        <f t="shared" si="40"/>
        <v>0</v>
      </c>
      <c r="M285" s="3"/>
      <c r="N285" s="3"/>
      <c r="O285" s="5">
        <f t="shared" si="41"/>
        <v>0</v>
      </c>
      <c r="P285" s="3"/>
      <c r="Q285" s="3"/>
      <c r="R285" s="5">
        <f t="shared" si="42"/>
        <v>0</v>
      </c>
      <c r="S285" s="5">
        <f t="shared" si="43"/>
        <v>0</v>
      </c>
    </row>
    <row r="286" spans="1:19">
      <c r="A286" s="3"/>
      <c r="B286" s="3"/>
      <c r="C286" s="3"/>
      <c r="D286" s="3"/>
      <c r="E286" s="3"/>
      <c r="F286" s="3"/>
      <c r="G286" s="3"/>
      <c r="H286" s="4"/>
      <c r="I286" s="3"/>
      <c r="J286" s="3"/>
      <c r="K286" s="3"/>
      <c r="L286" s="5">
        <f t="shared" si="40"/>
        <v>0</v>
      </c>
      <c r="M286" s="3"/>
      <c r="N286" s="3"/>
      <c r="O286" s="5">
        <f t="shared" si="41"/>
        <v>0</v>
      </c>
      <c r="P286" s="3"/>
      <c r="Q286" s="3"/>
      <c r="R286" s="5">
        <f t="shared" si="42"/>
        <v>0</v>
      </c>
      <c r="S286" s="5">
        <f t="shared" si="43"/>
        <v>0</v>
      </c>
    </row>
    <row r="287" spans="1:19">
      <c r="A287" s="3"/>
      <c r="B287" s="3"/>
      <c r="C287" s="3"/>
      <c r="D287" s="3"/>
      <c r="E287" s="3"/>
      <c r="F287" s="3"/>
      <c r="G287" s="3"/>
      <c r="H287" s="4"/>
      <c r="I287" s="3"/>
      <c r="J287" s="3"/>
      <c r="K287" s="3"/>
      <c r="L287" s="5">
        <f t="shared" si="40"/>
        <v>0</v>
      </c>
      <c r="M287" s="3"/>
      <c r="N287" s="3"/>
      <c r="O287" s="5">
        <f t="shared" si="41"/>
        <v>0</v>
      </c>
      <c r="P287" s="3"/>
      <c r="Q287" s="3"/>
      <c r="R287" s="5">
        <f t="shared" si="42"/>
        <v>0</v>
      </c>
      <c r="S287" s="5">
        <f t="shared" si="43"/>
        <v>0</v>
      </c>
    </row>
    <row r="288" spans="1:19">
      <c r="A288" s="3"/>
      <c r="B288" s="3"/>
      <c r="C288" s="3"/>
      <c r="D288" s="3"/>
      <c r="E288" s="3"/>
      <c r="F288" s="3"/>
      <c r="G288" s="3"/>
      <c r="H288" s="4"/>
      <c r="I288" s="3"/>
      <c r="J288" s="3"/>
      <c r="K288" s="3"/>
      <c r="L288" s="5">
        <f t="shared" si="40"/>
        <v>0</v>
      </c>
      <c r="M288" s="3"/>
      <c r="N288" s="3"/>
      <c r="O288" s="5">
        <f t="shared" si="41"/>
        <v>0</v>
      </c>
      <c r="P288" s="3"/>
      <c r="Q288" s="3"/>
      <c r="R288" s="5">
        <f t="shared" si="42"/>
        <v>0</v>
      </c>
      <c r="S288" s="5">
        <f t="shared" si="43"/>
        <v>0</v>
      </c>
    </row>
    <row r="289" spans="1:19">
      <c r="A289" s="3"/>
      <c r="B289" s="3"/>
      <c r="C289" s="3"/>
      <c r="D289" s="3"/>
      <c r="E289" s="3"/>
      <c r="F289" s="3"/>
      <c r="G289" s="3"/>
      <c r="H289" s="4"/>
      <c r="I289" s="3"/>
      <c r="J289" s="3"/>
      <c r="K289" s="3"/>
      <c r="L289" s="5">
        <f t="shared" si="40"/>
        <v>0</v>
      </c>
      <c r="M289" s="3"/>
      <c r="N289" s="3"/>
      <c r="O289" s="5">
        <f t="shared" si="41"/>
        <v>0</v>
      </c>
      <c r="P289" s="3"/>
      <c r="Q289" s="3"/>
      <c r="R289" s="5">
        <f t="shared" si="42"/>
        <v>0</v>
      </c>
      <c r="S289" s="5">
        <f t="shared" si="43"/>
        <v>0</v>
      </c>
    </row>
    <row r="290" spans="1:19">
      <c r="A290" s="3"/>
      <c r="B290" s="3"/>
      <c r="C290" s="3"/>
      <c r="D290" s="3"/>
      <c r="E290" s="3"/>
      <c r="F290" s="3"/>
      <c r="G290" s="3"/>
      <c r="H290" s="4"/>
      <c r="I290" s="3"/>
      <c r="J290" s="3"/>
      <c r="K290" s="3"/>
      <c r="L290" s="5">
        <f t="shared" si="40"/>
        <v>0</v>
      </c>
      <c r="M290" s="3"/>
      <c r="N290" s="3"/>
      <c r="O290" s="5">
        <f t="shared" si="41"/>
        <v>0</v>
      </c>
      <c r="P290" s="3"/>
      <c r="Q290" s="3"/>
      <c r="R290" s="5">
        <f t="shared" si="42"/>
        <v>0</v>
      </c>
      <c r="S290" s="5">
        <f t="shared" si="43"/>
        <v>0</v>
      </c>
    </row>
    <row r="291" spans="1:19">
      <c r="A291" s="3"/>
      <c r="B291" s="3"/>
      <c r="C291" s="3"/>
      <c r="D291" s="3"/>
      <c r="E291" s="3"/>
      <c r="F291" s="3"/>
      <c r="G291" s="3"/>
      <c r="H291" s="4"/>
      <c r="I291" s="3"/>
      <c r="J291" s="3"/>
      <c r="K291" s="3"/>
      <c r="L291" s="5">
        <f t="shared" si="40"/>
        <v>0</v>
      </c>
      <c r="M291" s="3"/>
      <c r="N291" s="3"/>
      <c r="O291" s="5">
        <f t="shared" si="41"/>
        <v>0</v>
      </c>
      <c r="P291" s="3"/>
      <c r="Q291" s="3"/>
      <c r="R291" s="5">
        <f t="shared" si="42"/>
        <v>0</v>
      </c>
      <c r="S291" s="5">
        <f t="shared" si="43"/>
        <v>0</v>
      </c>
    </row>
    <row r="292" spans="1:19">
      <c r="A292" s="3"/>
      <c r="B292" s="3"/>
      <c r="C292" s="3"/>
      <c r="D292" s="3"/>
      <c r="E292" s="3"/>
      <c r="F292" s="3"/>
      <c r="G292" s="3"/>
      <c r="H292" s="4"/>
      <c r="I292" s="3"/>
      <c r="J292" s="3"/>
      <c r="K292" s="3"/>
      <c r="L292" s="5">
        <f t="shared" si="40"/>
        <v>0</v>
      </c>
      <c r="M292" s="3"/>
      <c r="N292" s="3"/>
      <c r="O292" s="5">
        <f t="shared" si="41"/>
        <v>0</v>
      </c>
      <c r="P292" s="3"/>
      <c r="Q292" s="3"/>
      <c r="R292" s="5">
        <f t="shared" si="42"/>
        <v>0</v>
      </c>
      <c r="S292" s="5">
        <f t="shared" si="43"/>
        <v>0</v>
      </c>
    </row>
    <row r="293" spans="1:19">
      <c r="A293" s="3"/>
      <c r="B293" s="3"/>
      <c r="C293" s="3"/>
      <c r="D293" s="3"/>
      <c r="E293" s="3"/>
      <c r="F293" s="3"/>
      <c r="G293" s="3"/>
      <c r="H293" s="4"/>
      <c r="I293" s="3"/>
      <c r="J293" s="3"/>
      <c r="K293" s="3"/>
      <c r="L293" s="5">
        <f t="shared" si="40"/>
        <v>0</v>
      </c>
      <c r="M293" s="3"/>
      <c r="N293" s="3"/>
      <c r="O293" s="5">
        <f t="shared" si="41"/>
        <v>0</v>
      </c>
      <c r="P293" s="3"/>
      <c r="Q293" s="3"/>
      <c r="R293" s="5">
        <f t="shared" si="42"/>
        <v>0</v>
      </c>
      <c r="S293" s="5">
        <f t="shared" si="43"/>
        <v>0</v>
      </c>
    </row>
    <row r="294" spans="1:19">
      <c r="A294" s="3"/>
      <c r="B294" s="3"/>
      <c r="C294" s="3"/>
      <c r="D294" s="3"/>
      <c r="E294" s="3"/>
      <c r="F294" s="3"/>
      <c r="G294" s="3"/>
      <c r="H294" s="4"/>
      <c r="I294" s="3"/>
      <c r="J294" s="3"/>
      <c r="K294" s="3"/>
      <c r="L294" s="5">
        <f t="shared" si="40"/>
        <v>0</v>
      </c>
      <c r="M294" s="3"/>
      <c r="N294" s="3"/>
      <c r="O294" s="5">
        <f t="shared" si="41"/>
        <v>0</v>
      </c>
      <c r="P294" s="3"/>
      <c r="Q294" s="3"/>
      <c r="R294" s="5">
        <f t="shared" si="42"/>
        <v>0</v>
      </c>
      <c r="S294" s="5">
        <f t="shared" si="43"/>
        <v>0</v>
      </c>
    </row>
    <row r="295" spans="1:19">
      <c r="A295" s="3"/>
      <c r="B295" s="3"/>
      <c r="C295" s="3"/>
      <c r="D295" s="3"/>
      <c r="E295" s="3"/>
      <c r="F295" s="3"/>
      <c r="G295" s="3"/>
      <c r="H295" s="4"/>
      <c r="I295" s="3"/>
      <c r="J295" s="3"/>
      <c r="K295" s="3"/>
      <c r="L295" s="5">
        <f t="shared" si="40"/>
        <v>0</v>
      </c>
      <c r="M295" s="3"/>
      <c r="N295" s="3"/>
      <c r="O295" s="5">
        <f t="shared" si="41"/>
        <v>0</v>
      </c>
      <c r="P295" s="3"/>
      <c r="Q295" s="3"/>
      <c r="R295" s="5">
        <f t="shared" si="42"/>
        <v>0</v>
      </c>
      <c r="S295" s="5">
        <f t="shared" si="43"/>
        <v>0</v>
      </c>
    </row>
    <row r="296" spans="1:19">
      <c r="A296" s="3"/>
      <c r="B296" s="3"/>
      <c r="C296" s="3"/>
      <c r="D296" s="3"/>
      <c r="E296" s="3"/>
      <c r="F296" s="3"/>
      <c r="G296" s="3"/>
      <c r="H296" s="4"/>
      <c r="I296" s="3"/>
      <c r="J296" s="3"/>
      <c r="K296" s="3"/>
      <c r="L296" s="5">
        <f t="shared" si="40"/>
        <v>0</v>
      </c>
      <c r="M296" s="3"/>
      <c r="N296" s="3"/>
      <c r="O296" s="5">
        <f t="shared" si="41"/>
        <v>0</v>
      </c>
      <c r="P296" s="3"/>
      <c r="Q296" s="3"/>
      <c r="R296" s="5">
        <f t="shared" si="42"/>
        <v>0</v>
      </c>
      <c r="S296" s="5">
        <f t="shared" si="43"/>
        <v>0</v>
      </c>
    </row>
    <row r="297" spans="1:19">
      <c r="A297" s="3"/>
      <c r="B297" s="3"/>
      <c r="C297" s="3"/>
      <c r="D297" s="3"/>
      <c r="E297" s="3"/>
      <c r="F297" s="3"/>
      <c r="G297" s="3"/>
      <c r="H297" s="4"/>
      <c r="I297" s="3"/>
      <c r="J297" s="3"/>
      <c r="K297" s="3"/>
      <c r="L297" s="5">
        <f t="shared" si="40"/>
        <v>0</v>
      </c>
      <c r="M297" s="3"/>
      <c r="N297" s="3"/>
      <c r="O297" s="5">
        <f t="shared" si="41"/>
        <v>0</v>
      </c>
      <c r="P297" s="3"/>
      <c r="Q297" s="3"/>
      <c r="R297" s="5">
        <f t="shared" si="42"/>
        <v>0</v>
      </c>
      <c r="S297" s="5">
        <f t="shared" si="43"/>
        <v>0</v>
      </c>
    </row>
    <row r="298" spans="1:19">
      <c r="A298" s="3"/>
      <c r="B298" s="3"/>
      <c r="C298" s="3"/>
      <c r="D298" s="3"/>
      <c r="E298" s="3"/>
      <c r="F298" s="3"/>
      <c r="G298" s="3"/>
      <c r="H298" s="4"/>
      <c r="I298" s="3"/>
      <c r="J298" s="3"/>
      <c r="K298" s="3"/>
      <c r="L298" s="5">
        <f t="shared" si="40"/>
        <v>0</v>
      </c>
      <c r="M298" s="3"/>
      <c r="N298" s="3"/>
      <c r="O298" s="5">
        <f t="shared" si="41"/>
        <v>0</v>
      </c>
      <c r="P298" s="3"/>
      <c r="Q298" s="3"/>
      <c r="R298" s="5">
        <f t="shared" si="42"/>
        <v>0</v>
      </c>
      <c r="S298" s="5">
        <f t="shared" si="43"/>
        <v>0</v>
      </c>
    </row>
    <row r="299" spans="1:19">
      <c r="A299" s="3"/>
      <c r="B299" s="3"/>
      <c r="C299" s="3"/>
      <c r="D299" s="3"/>
      <c r="E299" s="3"/>
      <c r="F299" s="3"/>
      <c r="G299" s="3"/>
      <c r="H299" s="4"/>
      <c r="I299" s="3"/>
      <c r="J299" s="3"/>
      <c r="K299" s="3"/>
      <c r="L299" s="5">
        <f t="shared" si="40"/>
        <v>0</v>
      </c>
      <c r="M299" s="3"/>
      <c r="N299" s="3"/>
      <c r="O299" s="5">
        <f t="shared" si="41"/>
        <v>0</v>
      </c>
      <c r="P299" s="3"/>
      <c r="Q299" s="3"/>
      <c r="R299" s="5">
        <f t="shared" si="42"/>
        <v>0</v>
      </c>
      <c r="S299" s="5">
        <f t="shared" si="43"/>
        <v>0</v>
      </c>
    </row>
    <row r="300" spans="1:19">
      <c r="A300" s="3"/>
      <c r="B300" s="3"/>
      <c r="C300" s="3"/>
      <c r="D300" s="3"/>
      <c r="E300" s="3"/>
      <c r="F300" s="3"/>
      <c r="G300" s="3"/>
      <c r="H300" s="4"/>
      <c r="I300" s="3"/>
      <c r="J300" s="3"/>
      <c r="K300" s="3"/>
      <c r="L300" s="5">
        <f t="shared" si="40"/>
        <v>0</v>
      </c>
      <c r="M300" s="3"/>
      <c r="N300" s="3"/>
      <c r="O300" s="5">
        <f t="shared" si="41"/>
        <v>0</v>
      </c>
      <c r="P300" s="3"/>
      <c r="Q300" s="3"/>
      <c r="R300" s="5">
        <f t="shared" si="42"/>
        <v>0</v>
      </c>
      <c r="S300" s="5">
        <f t="shared" si="43"/>
        <v>0</v>
      </c>
    </row>
    <row r="301" spans="1:19">
      <c r="A301" s="3"/>
      <c r="B301" s="3"/>
      <c r="C301" s="3"/>
      <c r="D301" s="3"/>
      <c r="E301" s="3"/>
      <c r="F301" s="3"/>
      <c r="G301" s="3"/>
      <c r="H301" s="4"/>
      <c r="I301" s="3"/>
      <c r="J301" s="3"/>
      <c r="K301" s="3"/>
      <c r="L301" s="5">
        <f t="shared" si="40"/>
        <v>0</v>
      </c>
      <c r="M301" s="3"/>
      <c r="N301" s="3"/>
      <c r="O301" s="5">
        <f t="shared" si="41"/>
        <v>0</v>
      </c>
      <c r="P301" s="3"/>
      <c r="Q301" s="3"/>
      <c r="R301" s="5">
        <f t="shared" si="42"/>
        <v>0</v>
      </c>
      <c r="S301" s="5">
        <f t="shared" si="43"/>
        <v>0</v>
      </c>
    </row>
    <row r="302" spans="1:19">
      <c r="A302" s="3"/>
      <c r="B302" s="3"/>
      <c r="C302" s="3"/>
      <c r="D302" s="3"/>
      <c r="E302" s="3"/>
      <c r="F302" s="3"/>
      <c r="G302" s="3"/>
      <c r="H302" s="4"/>
      <c r="I302" s="3"/>
      <c r="J302" s="3"/>
      <c r="K302" s="3"/>
      <c r="L302" s="5">
        <f t="shared" ref="L302:L313" si="44">I302-(J302*K302)</f>
        <v>0</v>
      </c>
      <c r="M302" s="3"/>
      <c r="N302" s="3"/>
      <c r="O302" s="5">
        <f t="shared" ref="O302:O313" si="45">L302-(M302*N302)</f>
        <v>0</v>
      </c>
      <c r="P302" s="3"/>
      <c r="Q302" s="3"/>
      <c r="R302" s="5">
        <f t="shared" ref="R302:R313" si="46">O302-(P302*Q302)</f>
        <v>0</v>
      </c>
      <c r="S302" s="5">
        <f t="shared" ref="S302:S313" si="47">IF(AND(A302&lt;&gt;"",OR(B302="",C302="",H302="")),1,0)+IF(AND(A302&lt;&gt;"",D302=""),1,0)+IF(AND(D302="Yes",OR(G302="",E302&lt;&gt;"",F302&lt;&gt;"")),1,0)+IF(AND(D302="No",OR(G302&lt;&gt;"",E302="")),1,0)+IF(R302&lt;&gt;0,1,0)</f>
        <v>0</v>
      </c>
    </row>
    <row r="303" spans="1:19">
      <c r="A303" s="3"/>
      <c r="B303" s="3"/>
      <c r="C303" s="3"/>
      <c r="D303" s="3"/>
      <c r="E303" s="3"/>
      <c r="F303" s="3"/>
      <c r="G303" s="3"/>
      <c r="H303" s="4"/>
      <c r="I303" s="3"/>
      <c r="J303" s="3"/>
      <c r="K303" s="3"/>
      <c r="L303" s="5">
        <f t="shared" si="44"/>
        <v>0</v>
      </c>
      <c r="M303" s="3"/>
      <c r="N303" s="3"/>
      <c r="O303" s="5">
        <f t="shared" si="45"/>
        <v>0</v>
      </c>
      <c r="P303" s="3"/>
      <c r="Q303" s="3"/>
      <c r="R303" s="5">
        <f t="shared" si="46"/>
        <v>0</v>
      </c>
      <c r="S303" s="5">
        <f t="shared" si="47"/>
        <v>0</v>
      </c>
    </row>
    <row r="304" spans="1:19">
      <c r="A304" s="3"/>
      <c r="B304" s="3"/>
      <c r="C304" s="3"/>
      <c r="D304" s="3"/>
      <c r="E304" s="3"/>
      <c r="F304" s="3"/>
      <c r="G304" s="3"/>
      <c r="H304" s="4"/>
      <c r="I304" s="3"/>
      <c r="J304" s="3"/>
      <c r="K304" s="3"/>
      <c r="L304" s="5">
        <f t="shared" si="44"/>
        <v>0</v>
      </c>
      <c r="M304" s="3"/>
      <c r="N304" s="3"/>
      <c r="O304" s="5">
        <f t="shared" si="45"/>
        <v>0</v>
      </c>
      <c r="P304" s="3"/>
      <c r="Q304" s="3"/>
      <c r="R304" s="5">
        <f t="shared" si="46"/>
        <v>0</v>
      </c>
      <c r="S304" s="5">
        <f t="shared" si="47"/>
        <v>0</v>
      </c>
    </row>
    <row r="305" spans="1:19">
      <c r="A305" s="3"/>
      <c r="B305" s="3"/>
      <c r="C305" s="3"/>
      <c r="D305" s="3"/>
      <c r="E305" s="3"/>
      <c r="F305" s="3"/>
      <c r="G305" s="3"/>
      <c r="H305" s="4"/>
      <c r="I305" s="3"/>
      <c r="J305" s="3"/>
      <c r="K305" s="3"/>
      <c r="L305" s="5">
        <f t="shared" si="44"/>
        <v>0</v>
      </c>
      <c r="M305" s="3"/>
      <c r="N305" s="3"/>
      <c r="O305" s="5">
        <f t="shared" si="45"/>
        <v>0</v>
      </c>
      <c r="P305" s="3"/>
      <c r="Q305" s="3"/>
      <c r="R305" s="5">
        <f t="shared" si="46"/>
        <v>0</v>
      </c>
      <c r="S305" s="5">
        <f t="shared" si="47"/>
        <v>0</v>
      </c>
    </row>
    <row r="306" spans="1:19">
      <c r="A306" s="3"/>
      <c r="B306" s="3"/>
      <c r="C306" s="3"/>
      <c r="D306" s="3"/>
      <c r="E306" s="3"/>
      <c r="F306" s="3"/>
      <c r="G306" s="3"/>
      <c r="H306" s="4"/>
      <c r="I306" s="3"/>
      <c r="J306" s="3"/>
      <c r="K306" s="3"/>
      <c r="L306" s="5">
        <f t="shared" si="44"/>
        <v>0</v>
      </c>
      <c r="M306" s="3"/>
      <c r="N306" s="3"/>
      <c r="O306" s="5">
        <f t="shared" si="45"/>
        <v>0</v>
      </c>
      <c r="P306" s="3"/>
      <c r="Q306" s="3"/>
      <c r="R306" s="5">
        <f t="shared" si="46"/>
        <v>0</v>
      </c>
      <c r="S306" s="5">
        <f t="shared" si="47"/>
        <v>0</v>
      </c>
    </row>
    <row r="307" spans="1:19">
      <c r="A307" s="3"/>
      <c r="B307" s="3"/>
      <c r="C307" s="3"/>
      <c r="D307" s="3"/>
      <c r="E307" s="3"/>
      <c r="F307" s="3"/>
      <c r="G307" s="3"/>
      <c r="H307" s="4"/>
      <c r="I307" s="3"/>
      <c r="J307" s="3"/>
      <c r="K307" s="3"/>
      <c r="L307" s="5">
        <f t="shared" si="44"/>
        <v>0</v>
      </c>
      <c r="M307" s="3"/>
      <c r="N307" s="3"/>
      <c r="O307" s="5">
        <f t="shared" si="45"/>
        <v>0</v>
      </c>
      <c r="P307" s="3"/>
      <c r="Q307" s="3"/>
      <c r="R307" s="5">
        <f t="shared" si="46"/>
        <v>0</v>
      </c>
      <c r="S307" s="5">
        <f t="shared" si="47"/>
        <v>0</v>
      </c>
    </row>
    <row r="308" spans="1:19">
      <c r="A308" s="3"/>
      <c r="B308" s="3"/>
      <c r="C308" s="3"/>
      <c r="D308" s="3"/>
      <c r="E308" s="3"/>
      <c r="F308" s="3"/>
      <c r="G308" s="3"/>
      <c r="H308" s="4"/>
      <c r="I308" s="3"/>
      <c r="J308" s="3"/>
      <c r="K308" s="3"/>
      <c r="L308" s="5">
        <f t="shared" si="44"/>
        <v>0</v>
      </c>
      <c r="M308" s="3"/>
      <c r="N308" s="3"/>
      <c r="O308" s="5">
        <f t="shared" si="45"/>
        <v>0</v>
      </c>
      <c r="P308" s="3"/>
      <c r="Q308" s="3"/>
      <c r="R308" s="5">
        <f t="shared" si="46"/>
        <v>0</v>
      </c>
      <c r="S308" s="5">
        <f t="shared" si="47"/>
        <v>0</v>
      </c>
    </row>
    <row r="309" spans="1:19">
      <c r="A309" s="3"/>
      <c r="B309" s="3"/>
      <c r="C309" s="3"/>
      <c r="D309" s="3"/>
      <c r="E309" s="3"/>
      <c r="F309" s="3"/>
      <c r="G309" s="3"/>
      <c r="H309" s="4"/>
      <c r="I309" s="3"/>
      <c r="J309" s="3"/>
      <c r="K309" s="3"/>
      <c r="L309" s="5">
        <f t="shared" si="44"/>
        <v>0</v>
      </c>
      <c r="M309" s="3"/>
      <c r="N309" s="3"/>
      <c r="O309" s="5">
        <f t="shared" si="45"/>
        <v>0</v>
      </c>
      <c r="P309" s="3"/>
      <c r="Q309" s="3"/>
      <c r="R309" s="5">
        <f t="shared" si="46"/>
        <v>0</v>
      </c>
      <c r="S309" s="5">
        <f t="shared" si="47"/>
        <v>0</v>
      </c>
    </row>
    <row r="310" spans="1:19">
      <c r="A310" s="3"/>
      <c r="B310" s="3"/>
      <c r="C310" s="3"/>
      <c r="D310" s="3"/>
      <c r="E310" s="3"/>
      <c r="F310" s="3"/>
      <c r="G310" s="3"/>
      <c r="H310" s="4"/>
      <c r="I310" s="3"/>
      <c r="J310" s="3"/>
      <c r="K310" s="3"/>
      <c r="L310" s="5">
        <f t="shared" si="44"/>
        <v>0</v>
      </c>
      <c r="M310" s="3"/>
      <c r="N310" s="3"/>
      <c r="O310" s="5">
        <f t="shared" si="45"/>
        <v>0</v>
      </c>
      <c r="P310" s="3"/>
      <c r="Q310" s="3"/>
      <c r="R310" s="5">
        <f t="shared" si="46"/>
        <v>0</v>
      </c>
      <c r="S310" s="5">
        <f t="shared" si="47"/>
        <v>0</v>
      </c>
    </row>
    <row r="311" spans="1:19">
      <c r="A311" s="3"/>
      <c r="B311" s="3"/>
      <c r="C311" s="3"/>
      <c r="D311" s="3"/>
      <c r="E311" s="3"/>
      <c r="F311" s="3"/>
      <c r="G311" s="3"/>
      <c r="H311" s="4"/>
      <c r="I311" s="3"/>
      <c r="J311" s="3"/>
      <c r="K311" s="3"/>
      <c r="L311" s="5">
        <f t="shared" si="44"/>
        <v>0</v>
      </c>
      <c r="M311" s="3"/>
      <c r="N311" s="3"/>
      <c r="O311" s="5">
        <f t="shared" si="45"/>
        <v>0</v>
      </c>
      <c r="P311" s="3"/>
      <c r="Q311" s="3"/>
      <c r="R311" s="5">
        <f t="shared" si="46"/>
        <v>0</v>
      </c>
      <c r="S311" s="5">
        <f t="shared" si="47"/>
        <v>0</v>
      </c>
    </row>
    <row r="312" spans="1:19">
      <c r="A312" s="3"/>
      <c r="B312" s="3"/>
      <c r="C312" s="3"/>
      <c r="D312" s="3"/>
      <c r="E312" s="3"/>
      <c r="F312" s="3"/>
      <c r="G312" s="3"/>
      <c r="H312" s="4"/>
      <c r="I312" s="3"/>
      <c r="J312" s="3"/>
      <c r="K312" s="3"/>
      <c r="L312" s="5">
        <f t="shared" si="44"/>
        <v>0</v>
      </c>
      <c r="M312" s="3"/>
      <c r="N312" s="3"/>
      <c r="O312" s="5">
        <f t="shared" si="45"/>
        <v>0</v>
      </c>
      <c r="P312" s="3"/>
      <c r="Q312" s="3"/>
      <c r="R312" s="5">
        <f t="shared" si="46"/>
        <v>0</v>
      </c>
      <c r="S312" s="5">
        <f t="shared" si="47"/>
        <v>0</v>
      </c>
    </row>
    <row r="313" spans="1:19">
      <c r="A313" s="3"/>
      <c r="B313" s="3"/>
      <c r="C313" s="3"/>
      <c r="D313" s="3"/>
      <c r="E313" s="3"/>
      <c r="F313" s="3"/>
      <c r="G313" s="3"/>
      <c r="H313" s="4"/>
      <c r="I313" s="3"/>
      <c r="J313" s="3"/>
      <c r="K313" s="3"/>
      <c r="L313" s="5">
        <f t="shared" si="44"/>
        <v>0</v>
      </c>
      <c r="M313" s="3"/>
      <c r="N313" s="3"/>
      <c r="O313" s="5">
        <f t="shared" si="45"/>
        <v>0</v>
      </c>
      <c r="P313" s="3"/>
      <c r="Q313" s="3"/>
      <c r="R313" s="5">
        <f t="shared" si="46"/>
        <v>0</v>
      </c>
      <c r="S313" s="5">
        <f t="shared" si="47"/>
        <v>0</v>
      </c>
    </row>
    <row r="314" spans="1:19">
      <c r="A314" s="3"/>
      <c r="B314" s="3"/>
      <c r="C314" s="3"/>
      <c r="D314" s="3"/>
      <c r="E314" s="3"/>
      <c r="F314" s="3"/>
      <c r="G314" s="3"/>
      <c r="H314" s="4"/>
      <c r="I314" s="3"/>
      <c r="J314" s="3"/>
      <c r="K314" s="3"/>
      <c r="L314" s="5">
        <f t="shared" ref="L314:L346" si="48">I314-(J314*K314)</f>
        <v>0</v>
      </c>
      <c r="M314" s="3"/>
      <c r="N314" s="3"/>
      <c r="O314" s="5">
        <f t="shared" ref="O314:O346" si="49">L314-(M314*N314)</f>
        <v>0</v>
      </c>
      <c r="P314" s="3"/>
      <c r="Q314" s="3"/>
      <c r="R314" s="5">
        <f t="shared" ref="R314:R346" si="50">O314-(P314*Q314)</f>
        <v>0</v>
      </c>
      <c r="S314" s="5">
        <f t="shared" ref="S314:S346" si="51">IF(AND(A314&lt;&gt;"",OR(B314="",C314="",H314="")),1,0)+IF(AND(A314&lt;&gt;"",D314=""),1,0)+IF(AND(D314="Yes",OR(G314="",E314&lt;&gt;"",F314&lt;&gt;"")),1,0)+IF(AND(D314="No",OR(G314&lt;&gt;"",E314="")),1,0)+IF(R314&lt;&gt;0,1,0)</f>
        <v>0</v>
      </c>
    </row>
    <row r="315" spans="1:19">
      <c r="A315" s="3"/>
      <c r="B315" s="3"/>
      <c r="C315" s="3"/>
      <c r="D315" s="3"/>
      <c r="E315" s="3"/>
      <c r="F315" s="3"/>
      <c r="G315" s="3"/>
      <c r="H315" s="4"/>
      <c r="I315" s="3"/>
      <c r="J315" s="3"/>
      <c r="K315" s="3"/>
      <c r="L315" s="5">
        <f t="shared" si="48"/>
        <v>0</v>
      </c>
      <c r="M315" s="3"/>
      <c r="N315" s="3"/>
      <c r="O315" s="5">
        <f t="shared" si="49"/>
        <v>0</v>
      </c>
      <c r="P315" s="3"/>
      <c r="Q315" s="3"/>
      <c r="R315" s="5">
        <f t="shared" si="50"/>
        <v>0</v>
      </c>
      <c r="S315" s="5">
        <f t="shared" si="51"/>
        <v>0</v>
      </c>
    </row>
    <row r="316" spans="1:19">
      <c r="A316" s="3"/>
      <c r="B316" s="3"/>
      <c r="C316" s="3"/>
      <c r="D316" s="3"/>
      <c r="E316" s="3"/>
      <c r="F316" s="3"/>
      <c r="G316" s="3"/>
      <c r="H316" s="4"/>
      <c r="I316" s="3"/>
      <c r="J316" s="3"/>
      <c r="K316" s="3"/>
      <c r="L316" s="5">
        <f t="shared" si="48"/>
        <v>0</v>
      </c>
      <c r="M316" s="3"/>
      <c r="N316" s="3"/>
      <c r="O316" s="5">
        <f t="shared" si="49"/>
        <v>0</v>
      </c>
      <c r="P316" s="3"/>
      <c r="Q316" s="3"/>
      <c r="R316" s="5">
        <f t="shared" si="50"/>
        <v>0</v>
      </c>
      <c r="S316" s="5">
        <f t="shared" si="51"/>
        <v>0</v>
      </c>
    </row>
    <row r="317" spans="1:19">
      <c r="A317" s="3"/>
      <c r="B317" s="3"/>
      <c r="C317" s="3"/>
      <c r="D317" s="3"/>
      <c r="E317" s="3"/>
      <c r="F317" s="3"/>
      <c r="G317" s="3"/>
      <c r="H317" s="4"/>
      <c r="I317" s="3"/>
      <c r="J317" s="3"/>
      <c r="K317" s="3"/>
      <c r="L317" s="5">
        <f t="shared" si="48"/>
        <v>0</v>
      </c>
      <c r="M317" s="3"/>
      <c r="N317" s="3"/>
      <c r="O317" s="5">
        <f t="shared" si="49"/>
        <v>0</v>
      </c>
      <c r="P317" s="3"/>
      <c r="Q317" s="3"/>
      <c r="R317" s="5">
        <f t="shared" si="50"/>
        <v>0</v>
      </c>
      <c r="S317" s="5">
        <f t="shared" si="51"/>
        <v>0</v>
      </c>
    </row>
    <row r="318" spans="1:19">
      <c r="A318" s="3"/>
      <c r="B318" s="3"/>
      <c r="C318" s="3"/>
      <c r="D318" s="3"/>
      <c r="E318" s="3"/>
      <c r="F318" s="3"/>
      <c r="G318" s="3"/>
      <c r="H318" s="4"/>
      <c r="I318" s="3"/>
      <c r="J318" s="3"/>
      <c r="K318" s="3"/>
      <c r="L318" s="5">
        <f t="shared" si="48"/>
        <v>0</v>
      </c>
      <c r="M318" s="3"/>
      <c r="N318" s="3"/>
      <c r="O318" s="5">
        <f t="shared" si="49"/>
        <v>0</v>
      </c>
      <c r="P318" s="3"/>
      <c r="Q318" s="3"/>
      <c r="R318" s="5">
        <f t="shared" si="50"/>
        <v>0</v>
      </c>
      <c r="S318" s="5">
        <f t="shared" si="51"/>
        <v>0</v>
      </c>
    </row>
    <row r="319" spans="1:19">
      <c r="A319" s="3"/>
      <c r="B319" s="3"/>
      <c r="C319" s="3"/>
      <c r="D319" s="3"/>
      <c r="E319" s="3"/>
      <c r="F319" s="3"/>
      <c r="G319" s="3"/>
      <c r="H319" s="4"/>
      <c r="I319" s="3"/>
      <c r="J319" s="3"/>
      <c r="K319" s="3"/>
      <c r="L319" s="5">
        <f t="shared" si="48"/>
        <v>0</v>
      </c>
      <c r="M319" s="3"/>
      <c r="N319" s="3"/>
      <c r="O319" s="5">
        <f t="shared" si="49"/>
        <v>0</v>
      </c>
      <c r="P319" s="3"/>
      <c r="Q319" s="3"/>
      <c r="R319" s="5">
        <f t="shared" si="50"/>
        <v>0</v>
      </c>
      <c r="S319" s="5">
        <f t="shared" si="51"/>
        <v>0</v>
      </c>
    </row>
    <row r="320" spans="1:19">
      <c r="A320" s="3"/>
      <c r="B320" s="3"/>
      <c r="C320" s="3"/>
      <c r="D320" s="3"/>
      <c r="E320" s="3"/>
      <c r="F320" s="3"/>
      <c r="G320" s="3"/>
      <c r="H320" s="4"/>
      <c r="I320" s="3"/>
      <c r="J320" s="3"/>
      <c r="K320" s="3"/>
      <c r="L320" s="5">
        <f t="shared" si="48"/>
        <v>0</v>
      </c>
      <c r="M320" s="3"/>
      <c r="N320" s="3"/>
      <c r="O320" s="5">
        <f t="shared" si="49"/>
        <v>0</v>
      </c>
      <c r="P320" s="3"/>
      <c r="Q320" s="3"/>
      <c r="R320" s="5">
        <f t="shared" si="50"/>
        <v>0</v>
      </c>
      <c r="S320" s="5">
        <f t="shared" si="51"/>
        <v>0</v>
      </c>
    </row>
    <row r="321" spans="1:19">
      <c r="A321" s="3"/>
      <c r="B321" s="3"/>
      <c r="C321" s="3"/>
      <c r="D321" s="3"/>
      <c r="E321" s="3"/>
      <c r="F321" s="3"/>
      <c r="G321" s="3"/>
      <c r="H321" s="4"/>
      <c r="I321" s="3"/>
      <c r="J321" s="3"/>
      <c r="K321" s="3"/>
      <c r="L321" s="5">
        <f t="shared" si="48"/>
        <v>0</v>
      </c>
      <c r="M321" s="3"/>
      <c r="N321" s="3"/>
      <c r="O321" s="5">
        <f t="shared" si="49"/>
        <v>0</v>
      </c>
      <c r="P321" s="3"/>
      <c r="Q321" s="3"/>
      <c r="R321" s="5">
        <f t="shared" si="50"/>
        <v>0</v>
      </c>
      <c r="S321" s="5">
        <f t="shared" si="51"/>
        <v>0</v>
      </c>
    </row>
    <row r="322" spans="1:19">
      <c r="A322" s="3"/>
      <c r="B322" s="3"/>
      <c r="C322" s="3"/>
      <c r="D322" s="3"/>
      <c r="E322" s="3"/>
      <c r="F322" s="3"/>
      <c r="G322" s="3"/>
      <c r="H322" s="4"/>
      <c r="I322" s="3"/>
      <c r="J322" s="3"/>
      <c r="K322" s="3"/>
      <c r="L322" s="5">
        <f t="shared" si="48"/>
        <v>0</v>
      </c>
      <c r="M322" s="3"/>
      <c r="N322" s="3"/>
      <c r="O322" s="5">
        <f t="shared" si="49"/>
        <v>0</v>
      </c>
      <c r="P322" s="3"/>
      <c r="Q322" s="3"/>
      <c r="R322" s="5">
        <f t="shared" si="50"/>
        <v>0</v>
      </c>
      <c r="S322" s="5">
        <f t="shared" si="51"/>
        <v>0</v>
      </c>
    </row>
    <row r="323" spans="1:19">
      <c r="A323" s="3"/>
      <c r="B323" s="3"/>
      <c r="C323" s="3"/>
      <c r="D323" s="3"/>
      <c r="E323" s="3"/>
      <c r="F323" s="3"/>
      <c r="G323" s="3"/>
      <c r="H323" s="4"/>
      <c r="I323" s="3"/>
      <c r="J323" s="3"/>
      <c r="K323" s="3"/>
      <c r="L323" s="5">
        <f t="shared" si="48"/>
        <v>0</v>
      </c>
      <c r="M323" s="3"/>
      <c r="N323" s="3"/>
      <c r="O323" s="5">
        <f t="shared" si="49"/>
        <v>0</v>
      </c>
      <c r="P323" s="3"/>
      <c r="Q323" s="3"/>
      <c r="R323" s="5">
        <f t="shared" si="50"/>
        <v>0</v>
      </c>
      <c r="S323" s="5">
        <f t="shared" si="51"/>
        <v>0</v>
      </c>
    </row>
    <row r="324" spans="1:19">
      <c r="A324" s="3"/>
      <c r="B324" s="3"/>
      <c r="C324" s="3"/>
      <c r="D324" s="3"/>
      <c r="E324" s="3"/>
      <c r="F324" s="3"/>
      <c r="G324" s="3"/>
      <c r="H324" s="4"/>
      <c r="I324" s="3"/>
      <c r="J324" s="3"/>
      <c r="K324" s="3"/>
      <c r="L324" s="5">
        <f t="shared" si="48"/>
        <v>0</v>
      </c>
      <c r="M324" s="3"/>
      <c r="N324" s="3"/>
      <c r="O324" s="5">
        <f t="shared" si="49"/>
        <v>0</v>
      </c>
      <c r="P324" s="3"/>
      <c r="Q324" s="3"/>
      <c r="R324" s="5">
        <f t="shared" si="50"/>
        <v>0</v>
      </c>
      <c r="S324" s="5">
        <f t="shared" si="51"/>
        <v>0</v>
      </c>
    </row>
    <row r="325" spans="1:19">
      <c r="A325" s="3"/>
      <c r="B325" s="3"/>
      <c r="C325" s="3"/>
      <c r="D325" s="3"/>
      <c r="E325" s="3"/>
      <c r="F325" s="3"/>
      <c r="G325" s="3"/>
      <c r="H325" s="4"/>
      <c r="I325" s="3"/>
      <c r="J325" s="3"/>
      <c r="K325" s="3"/>
      <c r="L325" s="5">
        <f t="shared" si="48"/>
        <v>0</v>
      </c>
      <c r="M325" s="3"/>
      <c r="N325" s="3"/>
      <c r="O325" s="5">
        <f t="shared" si="49"/>
        <v>0</v>
      </c>
      <c r="P325" s="3"/>
      <c r="Q325" s="3"/>
      <c r="R325" s="5">
        <f t="shared" si="50"/>
        <v>0</v>
      </c>
      <c r="S325" s="5">
        <f t="shared" si="51"/>
        <v>0</v>
      </c>
    </row>
    <row r="326" spans="1:19">
      <c r="A326" s="3"/>
      <c r="B326" s="3"/>
      <c r="C326" s="3"/>
      <c r="D326" s="3"/>
      <c r="E326" s="3"/>
      <c r="F326" s="3"/>
      <c r="G326" s="3"/>
      <c r="H326" s="4"/>
      <c r="I326" s="3"/>
      <c r="J326" s="3"/>
      <c r="K326" s="3"/>
      <c r="L326" s="5">
        <f t="shared" si="48"/>
        <v>0</v>
      </c>
      <c r="M326" s="3"/>
      <c r="N326" s="3"/>
      <c r="O326" s="5">
        <f t="shared" si="49"/>
        <v>0</v>
      </c>
      <c r="P326" s="3"/>
      <c r="Q326" s="3"/>
      <c r="R326" s="5">
        <f t="shared" si="50"/>
        <v>0</v>
      </c>
      <c r="S326" s="5">
        <f t="shared" si="51"/>
        <v>0</v>
      </c>
    </row>
    <row r="327" spans="1:19">
      <c r="A327" s="3"/>
      <c r="B327" s="3"/>
      <c r="C327" s="3"/>
      <c r="D327" s="3"/>
      <c r="E327" s="3"/>
      <c r="F327" s="3"/>
      <c r="G327" s="3"/>
      <c r="H327" s="4"/>
      <c r="I327" s="3"/>
      <c r="J327" s="3"/>
      <c r="K327" s="3"/>
      <c r="L327" s="5">
        <f t="shared" si="48"/>
        <v>0</v>
      </c>
      <c r="M327" s="3"/>
      <c r="N327" s="3"/>
      <c r="O327" s="5">
        <f t="shared" si="49"/>
        <v>0</v>
      </c>
      <c r="P327" s="3"/>
      <c r="Q327" s="3"/>
      <c r="R327" s="5">
        <f t="shared" si="50"/>
        <v>0</v>
      </c>
      <c r="S327" s="5">
        <f t="shared" si="51"/>
        <v>0</v>
      </c>
    </row>
    <row r="328" spans="1:19">
      <c r="A328" s="3"/>
      <c r="B328" s="3"/>
      <c r="C328" s="3"/>
      <c r="D328" s="3"/>
      <c r="E328" s="3"/>
      <c r="F328" s="3"/>
      <c r="G328" s="3"/>
      <c r="H328" s="4"/>
      <c r="I328" s="3"/>
      <c r="J328" s="3"/>
      <c r="K328" s="3"/>
      <c r="L328" s="5">
        <f t="shared" si="48"/>
        <v>0</v>
      </c>
      <c r="M328" s="3"/>
      <c r="N328" s="3"/>
      <c r="O328" s="5">
        <f t="shared" si="49"/>
        <v>0</v>
      </c>
      <c r="P328" s="3"/>
      <c r="Q328" s="3"/>
      <c r="R328" s="5">
        <f t="shared" si="50"/>
        <v>0</v>
      </c>
      <c r="S328" s="5">
        <f t="shared" si="51"/>
        <v>0</v>
      </c>
    </row>
    <row r="329" spans="1:19">
      <c r="A329" s="3"/>
      <c r="B329" s="3"/>
      <c r="C329" s="3"/>
      <c r="D329" s="3"/>
      <c r="E329" s="3"/>
      <c r="F329" s="3"/>
      <c r="G329" s="3"/>
      <c r="H329" s="4"/>
      <c r="I329" s="3"/>
      <c r="J329" s="3"/>
      <c r="K329" s="3"/>
      <c r="L329" s="5">
        <f t="shared" si="48"/>
        <v>0</v>
      </c>
      <c r="M329" s="3"/>
      <c r="N329" s="3"/>
      <c r="O329" s="5">
        <f t="shared" si="49"/>
        <v>0</v>
      </c>
      <c r="P329" s="3"/>
      <c r="Q329" s="3"/>
      <c r="R329" s="5">
        <f t="shared" si="50"/>
        <v>0</v>
      </c>
      <c r="S329" s="5">
        <f t="shared" si="51"/>
        <v>0</v>
      </c>
    </row>
    <row r="330" spans="1:19">
      <c r="A330" s="3"/>
      <c r="B330" s="3"/>
      <c r="C330" s="3"/>
      <c r="D330" s="3"/>
      <c r="E330" s="3"/>
      <c r="F330" s="3"/>
      <c r="G330" s="3"/>
      <c r="H330" s="4"/>
      <c r="I330" s="3"/>
      <c r="J330" s="3"/>
      <c r="K330" s="3"/>
      <c r="L330" s="5">
        <f t="shared" si="48"/>
        <v>0</v>
      </c>
      <c r="M330" s="3"/>
      <c r="N330" s="3"/>
      <c r="O330" s="5">
        <f t="shared" si="49"/>
        <v>0</v>
      </c>
      <c r="P330" s="3"/>
      <c r="Q330" s="3"/>
      <c r="R330" s="5">
        <f t="shared" si="50"/>
        <v>0</v>
      </c>
      <c r="S330" s="5">
        <f t="shared" si="51"/>
        <v>0</v>
      </c>
    </row>
    <row r="331" spans="1:19">
      <c r="A331" s="3"/>
      <c r="B331" s="3"/>
      <c r="C331" s="3"/>
      <c r="D331" s="3"/>
      <c r="E331" s="3"/>
      <c r="F331" s="3"/>
      <c r="G331" s="3"/>
      <c r="H331" s="4"/>
      <c r="I331" s="3"/>
      <c r="J331" s="3"/>
      <c r="K331" s="3"/>
      <c r="L331" s="5">
        <f t="shared" si="48"/>
        <v>0</v>
      </c>
      <c r="M331" s="3"/>
      <c r="N331" s="3"/>
      <c r="O331" s="5">
        <f t="shared" si="49"/>
        <v>0</v>
      </c>
      <c r="P331" s="3"/>
      <c r="Q331" s="3"/>
      <c r="R331" s="5">
        <f t="shared" si="50"/>
        <v>0</v>
      </c>
      <c r="S331" s="5">
        <f t="shared" si="51"/>
        <v>0</v>
      </c>
    </row>
    <row r="332" spans="1:19">
      <c r="A332" s="3"/>
      <c r="B332" s="3"/>
      <c r="C332" s="3"/>
      <c r="D332" s="3"/>
      <c r="E332" s="3"/>
      <c r="F332" s="3"/>
      <c r="G332" s="3"/>
      <c r="H332" s="4"/>
      <c r="I332" s="3"/>
      <c r="J332" s="3"/>
      <c r="K332" s="3"/>
      <c r="L332" s="5">
        <f t="shared" si="48"/>
        <v>0</v>
      </c>
      <c r="M332" s="3"/>
      <c r="N332" s="3"/>
      <c r="O332" s="5">
        <f t="shared" si="49"/>
        <v>0</v>
      </c>
      <c r="P332" s="3"/>
      <c r="Q332" s="3"/>
      <c r="R332" s="5">
        <f t="shared" si="50"/>
        <v>0</v>
      </c>
      <c r="S332" s="5">
        <f t="shared" si="51"/>
        <v>0</v>
      </c>
    </row>
    <row r="333" spans="1:19">
      <c r="A333" s="3"/>
      <c r="B333" s="3"/>
      <c r="C333" s="3"/>
      <c r="D333" s="3"/>
      <c r="E333" s="3"/>
      <c r="F333" s="3"/>
      <c r="G333" s="3"/>
      <c r="H333" s="4"/>
      <c r="I333" s="3"/>
      <c r="J333" s="3"/>
      <c r="K333" s="3"/>
      <c r="L333" s="5">
        <f t="shared" si="48"/>
        <v>0</v>
      </c>
      <c r="M333" s="3"/>
      <c r="N333" s="3"/>
      <c r="O333" s="5">
        <f t="shared" si="49"/>
        <v>0</v>
      </c>
      <c r="P333" s="3"/>
      <c r="Q333" s="3"/>
      <c r="R333" s="5">
        <f t="shared" si="50"/>
        <v>0</v>
      </c>
      <c r="S333" s="5">
        <f t="shared" si="51"/>
        <v>0</v>
      </c>
    </row>
    <row r="334" spans="1:19">
      <c r="A334" s="3"/>
      <c r="B334" s="3"/>
      <c r="C334" s="3"/>
      <c r="D334" s="3"/>
      <c r="E334" s="3"/>
      <c r="F334" s="3"/>
      <c r="G334" s="3"/>
      <c r="H334" s="4"/>
      <c r="I334" s="3"/>
      <c r="J334" s="3"/>
      <c r="K334" s="3"/>
      <c r="L334" s="5">
        <f t="shared" si="48"/>
        <v>0</v>
      </c>
      <c r="M334" s="3"/>
      <c r="N334" s="3"/>
      <c r="O334" s="5">
        <f t="shared" si="49"/>
        <v>0</v>
      </c>
      <c r="P334" s="3"/>
      <c r="Q334" s="3"/>
      <c r="R334" s="5">
        <f t="shared" si="50"/>
        <v>0</v>
      </c>
      <c r="S334" s="5">
        <f t="shared" si="51"/>
        <v>0</v>
      </c>
    </row>
    <row r="335" spans="1:19">
      <c r="A335" s="3"/>
      <c r="B335" s="3"/>
      <c r="C335" s="3"/>
      <c r="D335" s="3"/>
      <c r="E335" s="3"/>
      <c r="F335" s="3"/>
      <c r="G335" s="3"/>
      <c r="H335" s="4"/>
      <c r="I335" s="3"/>
      <c r="J335" s="3"/>
      <c r="K335" s="3"/>
      <c r="L335" s="5">
        <f t="shared" si="48"/>
        <v>0</v>
      </c>
      <c r="M335" s="3"/>
      <c r="N335" s="3"/>
      <c r="O335" s="5">
        <f t="shared" si="49"/>
        <v>0</v>
      </c>
      <c r="P335" s="3"/>
      <c r="Q335" s="3"/>
      <c r="R335" s="5">
        <f t="shared" si="50"/>
        <v>0</v>
      </c>
      <c r="S335" s="5">
        <f t="shared" si="51"/>
        <v>0</v>
      </c>
    </row>
    <row r="336" spans="1:19">
      <c r="A336" s="3"/>
      <c r="B336" s="3"/>
      <c r="C336" s="3"/>
      <c r="D336" s="3"/>
      <c r="E336" s="3"/>
      <c r="F336" s="3"/>
      <c r="G336" s="3"/>
      <c r="H336" s="4"/>
      <c r="I336" s="3"/>
      <c r="J336" s="3"/>
      <c r="K336" s="3"/>
      <c r="L336" s="5">
        <f t="shared" si="48"/>
        <v>0</v>
      </c>
      <c r="M336" s="3"/>
      <c r="N336" s="3"/>
      <c r="O336" s="5">
        <f t="shared" si="49"/>
        <v>0</v>
      </c>
      <c r="P336" s="3"/>
      <c r="Q336" s="3"/>
      <c r="R336" s="5">
        <f t="shared" si="50"/>
        <v>0</v>
      </c>
      <c r="S336" s="5">
        <f t="shared" si="51"/>
        <v>0</v>
      </c>
    </row>
    <row r="337" spans="1:19">
      <c r="A337" s="3"/>
      <c r="B337" s="3"/>
      <c r="C337" s="3"/>
      <c r="D337" s="3"/>
      <c r="E337" s="3"/>
      <c r="F337" s="3"/>
      <c r="G337" s="3"/>
      <c r="H337" s="4"/>
      <c r="I337" s="3"/>
      <c r="J337" s="3"/>
      <c r="K337" s="3"/>
      <c r="L337" s="5">
        <f t="shared" si="48"/>
        <v>0</v>
      </c>
      <c r="M337" s="3"/>
      <c r="N337" s="3"/>
      <c r="O337" s="5">
        <f t="shared" si="49"/>
        <v>0</v>
      </c>
      <c r="P337" s="3"/>
      <c r="Q337" s="3"/>
      <c r="R337" s="5">
        <f t="shared" si="50"/>
        <v>0</v>
      </c>
      <c r="S337" s="5">
        <f t="shared" si="51"/>
        <v>0</v>
      </c>
    </row>
    <row r="338" spans="1:19">
      <c r="A338" s="3"/>
      <c r="B338" s="3"/>
      <c r="C338" s="3"/>
      <c r="D338" s="3"/>
      <c r="E338" s="3"/>
      <c r="F338" s="3"/>
      <c r="G338" s="3"/>
      <c r="H338" s="4"/>
      <c r="I338" s="3"/>
      <c r="J338" s="3"/>
      <c r="K338" s="3"/>
      <c r="L338" s="5">
        <f t="shared" si="48"/>
        <v>0</v>
      </c>
      <c r="M338" s="3"/>
      <c r="N338" s="3"/>
      <c r="O338" s="5">
        <f t="shared" si="49"/>
        <v>0</v>
      </c>
      <c r="P338" s="3"/>
      <c r="Q338" s="3"/>
      <c r="R338" s="5">
        <f t="shared" si="50"/>
        <v>0</v>
      </c>
      <c r="S338" s="5">
        <f t="shared" si="51"/>
        <v>0</v>
      </c>
    </row>
    <row r="339" spans="1:19">
      <c r="A339" s="3"/>
      <c r="B339" s="3"/>
      <c r="C339" s="3"/>
      <c r="D339" s="3"/>
      <c r="E339" s="3"/>
      <c r="F339" s="3"/>
      <c r="G339" s="3"/>
      <c r="H339" s="4"/>
      <c r="I339" s="3"/>
      <c r="J339" s="3"/>
      <c r="K339" s="3"/>
      <c r="L339" s="5">
        <f t="shared" si="48"/>
        <v>0</v>
      </c>
      <c r="M339" s="3"/>
      <c r="N339" s="3"/>
      <c r="O339" s="5">
        <f t="shared" si="49"/>
        <v>0</v>
      </c>
      <c r="P339" s="3"/>
      <c r="Q339" s="3"/>
      <c r="R339" s="5">
        <f t="shared" si="50"/>
        <v>0</v>
      </c>
      <c r="S339" s="5">
        <f t="shared" si="51"/>
        <v>0</v>
      </c>
    </row>
    <row r="340" spans="1:19">
      <c r="A340" s="3"/>
      <c r="B340" s="3"/>
      <c r="C340" s="3"/>
      <c r="D340" s="3"/>
      <c r="E340" s="3"/>
      <c r="F340" s="3"/>
      <c r="G340" s="3"/>
      <c r="H340" s="4"/>
      <c r="I340" s="3"/>
      <c r="J340" s="3"/>
      <c r="K340" s="3"/>
      <c r="L340" s="5">
        <f t="shared" si="48"/>
        <v>0</v>
      </c>
      <c r="M340" s="3"/>
      <c r="N340" s="3"/>
      <c r="O340" s="5">
        <f t="shared" si="49"/>
        <v>0</v>
      </c>
      <c r="P340" s="3"/>
      <c r="Q340" s="3"/>
      <c r="R340" s="5">
        <f t="shared" si="50"/>
        <v>0</v>
      </c>
      <c r="S340" s="5">
        <f t="shared" si="51"/>
        <v>0</v>
      </c>
    </row>
    <row r="341" spans="1:19">
      <c r="A341" s="3"/>
      <c r="B341" s="3"/>
      <c r="C341" s="3"/>
      <c r="D341" s="3"/>
      <c r="E341" s="3"/>
      <c r="F341" s="3"/>
      <c r="G341" s="3"/>
      <c r="H341" s="4"/>
      <c r="I341" s="3"/>
      <c r="J341" s="3"/>
      <c r="K341" s="3"/>
      <c r="L341" s="5">
        <f t="shared" si="48"/>
        <v>0</v>
      </c>
      <c r="M341" s="3"/>
      <c r="N341" s="3"/>
      <c r="O341" s="5">
        <f t="shared" si="49"/>
        <v>0</v>
      </c>
      <c r="P341" s="3"/>
      <c r="Q341" s="3"/>
      <c r="R341" s="5">
        <f t="shared" si="50"/>
        <v>0</v>
      </c>
      <c r="S341" s="5">
        <f t="shared" si="51"/>
        <v>0</v>
      </c>
    </row>
    <row r="342" spans="1:19">
      <c r="A342" s="3"/>
      <c r="B342" s="3"/>
      <c r="C342" s="3"/>
      <c r="D342" s="3"/>
      <c r="E342" s="3"/>
      <c r="F342" s="3"/>
      <c r="G342" s="3"/>
      <c r="H342" s="4"/>
      <c r="I342" s="3"/>
      <c r="J342" s="3"/>
      <c r="K342" s="3"/>
      <c r="L342" s="5">
        <f t="shared" si="48"/>
        <v>0</v>
      </c>
      <c r="M342" s="3"/>
      <c r="N342" s="3"/>
      <c r="O342" s="5">
        <f t="shared" si="49"/>
        <v>0</v>
      </c>
      <c r="P342" s="3"/>
      <c r="Q342" s="3"/>
      <c r="R342" s="5">
        <f t="shared" si="50"/>
        <v>0</v>
      </c>
      <c r="S342" s="5">
        <f t="shared" si="51"/>
        <v>0</v>
      </c>
    </row>
    <row r="343" spans="1:19">
      <c r="A343" s="3"/>
      <c r="B343" s="3"/>
      <c r="C343" s="3"/>
      <c r="D343" s="3"/>
      <c r="E343" s="3"/>
      <c r="F343" s="3"/>
      <c r="G343" s="3"/>
      <c r="H343" s="4"/>
      <c r="I343" s="3"/>
      <c r="J343" s="3"/>
      <c r="K343" s="3"/>
      <c r="L343" s="5">
        <f t="shared" si="48"/>
        <v>0</v>
      </c>
      <c r="M343" s="3"/>
      <c r="N343" s="3"/>
      <c r="O343" s="5">
        <f t="shared" si="49"/>
        <v>0</v>
      </c>
      <c r="P343" s="3"/>
      <c r="Q343" s="3"/>
      <c r="R343" s="5">
        <f t="shared" si="50"/>
        <v>0</v>
      </c>
      <c r="S343" s="5">
        <f t="shared" si="51"/>
        <v>0</v>
      </c>
    </row>
    <row r="344" spans="1:19">
      <c r="A344" s="3"/>
      <c r="B344" s="3"/>
      <c r="C344" s="3"/>
      <c r="D344" s="3"/>
      <c r="E344" s="3"/>
      <c r="F344" s="3"/>
      <c r="G344" s="3"/>
      <c r="H344" s="4"/>
      <c r="I344" s="3"/>
      <c r="J344" s="3"/>
      <c r="K344" s="3"/>
      <c r="L344" s="5">
        <f t="shared" si="48"/>
        <v>0</v>
      </c>
      <c r="M344" s="3"/>
      <c r="N344" s="3"/>
      <c r="O344" s="5">
        <f t="shared" si="49"/>
        <v>0</v>
      </c>
      <c r="P344" s="3"/>
      <c r="Q344" s="3"/>
      <c r="R344" s="5">
        <f t="shared" si="50"/>
        <v>0</v>
      </c>
      <c r="S344" s="5">
        <f t="shared" si="51"/>
        <v>0</v>
      </c>
    </row>
    <row r="345" spans="1:19">
      <c r="A345" s="3"/>
      <c r="B345" s="3"/>
      <c r="C345" s="3"/>
      <c r="D345" s="3"/>
      <c r="E345" s="3"/>
      <c r="F345" s="3"/>
      <c r="G345" s="3"/>
      <c r="H345" s="4"/>
      <c r="I345" s="3"/>
      <c r="J345" s="3"/>
      <c r="K345" s="3"/>
      <c r="L345" s="5">
        <f t="shared" si="48"/>
        <v>0</v>
      </c>
      <c r="M345" s="3"/>
      <c r="N345" s="3"/>
      <c r="O345" s="5">
        <f t="shared" si="49"/>
        <v>0</v>
      </c>
      <c r="P345" s="3"/>
      <c r="Q345" s="3"/>
      <c r="R345" s="5">
        <f t="shared" si="50"/>
        <v>0</v>
      </c>
      <c r="S345" s="5">
        <f t="shared" si="51"/>
        <v>0</v>
      </c>
    </row>
    <row r="346" spans="1:19">
      <c r="A346" s="3"/>
      <c r="B346" s="3"/>
      <c r="C346" s="3"/>
      <c r="D346" s="3"/>
      <c r="E346" s="3"/>
      <c r="F346" s="3"/>
      <c r="G346" s="3"/>
      <c r="H346" s="4"/>
      <c r="I346" s="3"/>
      <c r="J346" s="3"/>
      <c r="K346" s="3"/>
      <c r="L346" s="5">
        <f t="shared" si="48"/>
        <v>0</v>
      </c>
      <c r="M346" s="3"/>
      <c r="N346" s="3"/>
      <c r="O346" s="5">
        <f t="shared" si="49"/>
        <v>0</v>
      </c>
      <c r="P346" s="3"/>
      <c r="Q346" s="3"/>
      <c r="R346" s="5">
        <f t="shared" si="50"/>
        <v>0</v>
      </c>
      <c r="S346" s="5">
        <f t="shared" si="51"/>
        <v>0</v>
      </c>
    </row>
    <row r="347" spans="1:19">
      <c r="A347" s="3"/>
      <c r="B347" s="3"/>
      <c r="C347" s="3"/>
      <c r="D347" s="3"/>
      <c r="E347" s="3"/>
      <c r="F347" s="3"/>
      <c r="G347" s="3"/>
      <c r="H347" s="4"/>
      <c r="I347" s="3"/>
      <c r="J347" s="3"/>
      <c r="K347" s="3"/>
      <c r="L347" s="5">
        <f t="shared" ref="L347:L382" si="52">I347-(J347*K347)</f>
        <v>0</v>
      </c>
      <c r="M347" s="3"/>
      <c r="N347" s="3"/>
      <c r="O347" s="5">
        <f t="shared" ref="O347:O382" si="53">L347-(M347*N347)</f>
        <v>0</v>
      </c>
      <c r="P347" s="3"/>
      <c r="Q347" s="3"/>
      <c r="R347" s="5">
        <f t="shared" ref="R347:R382" si="54">O347-(P347*Q347)</f>
        <v>0</v>
      </c>
      <c r="S347" s="5">
        <f t="shared" ref="S347:S382" si="55">IF(AND(A347&lt;&gt;"",OR(B347="",C347="",H347="")),1,0)+IF(AND(A347&lt;&gt;"",D347=""),1,0)+IF(AND(D347="Yes",OR(G347="",E347&lt;&gt;"",F347&lt;&gt;"")),1,0)+IF(AND(D347="No",OR(G347&lt;&gt;"",E347="")),1,0)+IF(R347&lt;&gt;0,1,0)</f>
        <v>0</v>
      </c>
    </row>
    <row r="348" spans="1:19">
      <c r="A348" s="3"/>
      <c r="B348" s="3"/>
      <c r="C348" s="3"/>
      <c r="D348" s="3"/>
      <c r="E348" s="3"/>
      <c r="F348" s="3"/>
      <c r="G348" s="3"/>
      <c r="H348" s="4"/>
      <c r="I348" s="3"/>
      <c r="J348" s="3"/>
      <c r="K348" s="3"/>
      <c r="L348" s="5">
        <f t="shared" si="52"/>
        <v>0</v>
      </c>
      <c r="M348" s="3"/>
      <c r="N348" s="3"/>
      <c r="O348" s="5">
        <f t="shared" si="53"/>
        <v>0</v>
      </c>
      <c r="P348" s="3"/>
      <c r="Q348" s="3"/>
      <c r="R348" s="5">
        <f t="shared" si="54"/>
        <v>0</v>
      </c>
      <c r="S348" s="5">
        <f t="shared" si="55"/>
        <v>0</v>
      </c>
    </row>
    <row r="349" spans="1:19">
      <c r="A349" s="3"/>
      <c r="B349" s="3"/>
      <c r="C349" s="3"/>
      <c r="D349" s="3"/>
      <c r="E349" s="3"/>
      <c r="F349" s="3"/>
      <c r="G349" s="3"/>
      <c r="H349" s="4"/>
      <c r="I349" s="3"/>
      <c r="J349" s="3"/>
      <c r="K349" s="3"/>
      <c r="L349" s="5">
        <f t="shared" si="52"/>
        <v>0</v>
      </c>
      <c r="M349" s="3"/>
      <c r="N349" s="3"/>
      <c r="O349" s="5">
        <f t="shared" si="53"/>
        <v>0</v>
      </c>
      <c r="P349" s="3"/>
      <c r="Q349" s="3"/>
      <c r="R349" s="5">
        <f t="shared" si="54"/>
        <v>0</v>
      </c>
      <c r="S349" s="5">
        <f t="shared" si="55"/>
        <v>0</v>
      </c>
    </row>
    <row r="350" spans="1:19">
      <c r="A350" s="3"/>
      <c r="B350" s="3"/>
      <c r="C350" s="3"/>
      <c r="D350" s="3"/>
      <c r="E350" s="3"/>
      <c r="F350" s="3"/>
      <c r="G350" s="3"/>
      <c r="H350" s="4"/>
      <c r="I350" s="3"/>
      <c r="J350" s="3"/>
      <c r="K350" s="3"/>
      <c r="L350" s="5">
        <f t="shared" si="52"/>
        <v>0</v>
      </c>
      <c r="M350" s="3"/>
      <c r="N350" s="3"/>
      <c r="O350" s="5">
        <f t="shared" si="53"/>
        <v>0</v>
      </c>
      <c r="P350" s="3"/>
      <c r="Q350" s="3"/>
      <c r="R350" s="5">
        <f t="shared" si="54"/>
        <v>0</v>
      </c>
      <c r="S350" s="5">
        <f t="shared" si="55"/>
        <v>0</v>
      </c>
    </row>
    <row r="351" spans="1:19">
      <c r="A351" s="3"/>
      <c r="B351" s="3"/>
      <c r="C351" s="3"/>
      <c r="D351" s="3"/>
      <c r="E351" s="3"/>
      <c r="F351" s="3"/>
      <c r="G351" s="3"/>
      <c r="H351" s="4"/>
      <c r="I351" s="3"/>
      <c r="J351" s="3"/>
      <c r="K351" s="3"/>
      <c r="L351" s="5">
        <f t="shared" si="52"/>
        <v>0</v>
      </c>
      <c r="M351" s="3"/>
      <c r="N351" s="3"/>
      <c r="O351" s="5">
        <f t="shared" si="53"/>
        <v>0</v>
      </c>
      <c r="P351" s="3"/>
      <c r="Q351" s="3"/>
      <c r="R351" s="5">
        <f t="shared" si="54"/>
        <v>0</v>
      </c>
      <c r="S351" s="5">
        <f t="shared" si="55"/>
        <v>0</v>
      </c>
    </row>
    <row r="352" spans="1:19">
      <c r="A352" s="3"/>
      <c r="B352" s="3"/>
      <c r="C352" s="3"/>
      <c r="D352" s="3"/>
      <c r="E352" s="3"/>
      <c r="F352" s="3"/>
      <c r="G352" s="3"/>
      <c r="H352" s="4"/>
      <c r="I352" s="3"/>
      <c r="J352" s="3"/>
      <c r="K352" s="3"/>
      <c r="L352" s="5">
        <f t="shared" si="52"/>
        <v>0</v>
      </c>
      <c r="M352" s="3"/>
      <c r="N352" s="3"/>
      <c r="O352" s="5">
        <f t="shared" si="53"/>
        <v>0</v>
      </c>
      <c r="P352" s="3"/>
      <c r="Q352" s="3"/>
      <c r="R352" s="5">
        <f t="shared" si="54"/>
        <v>0</v>
      </c>
      <c r="S352" s="5">
        <f t="shared" si="55"/>
        <v>0</v>
      </c>
    </row>
    <row r="353" spans="1:19">
      <c r="A353" s="3"/>
      <c r="B353" s="3"/>
      <c r="C353" s="3"/>
      <c r="D353" s="3"/>
      <c r="E353" s="3"/>
      <c r="F353" s="3"/>
      <c r="G353" s="3"/>
      <c r="H353" s="4"/>
      <c r="I353" s="3"/>
      <c r="J353" s="3"/>
      <c r="K353" s="3"/>
      <c r="L353" s="5">
        <f t="shared" si="52"/>
        <v>0</v>
      </c>
      <c r="M353" s="3"/>
      <c r="N353" s="3"/>
      <c r="O353" s="5">
        <f t="shared" si="53"/>
        <v>0</v>
      </c>
      <c r="P353" s="3"/>
      <c r="Q353" s="3"/>
      <c r="R353" s="5">
        <f t="shared" si="54"/>
        <v>0</v>
      </c>
      <c r="S353" s="5">
        <f t="shared" si="55"/>
        <v>0</v>
      </c>
    </row>
    <row r="354" spans="1:19">
      <c r="A354" s="3"/>
      <c r="B354" s="3"/>
      <c r="C354" s="3"/>
      <c r="D354" s="3"/>
      <c r="E354" s="3"/>
      <c r="F354" s="3"/>
      <c r="G354" s="3"/>
      <c r="H354" s="4"/>
      <c r="I354" s="3"/>
      <c r="J354" s="3"/>
      <c r="K354" s="3"/>
      <c r="L354" s="5">
        <f t="shared" si="52"/>
        <v>0</v>
      </c>
      <c r="M354" s="3"/>
      <c r="N354" s="3"/>
      <c r="O354" s="5">
        <f t="shared" si="53"/>
        <v>0</v>
      </c>
      <c r="P354" s="3"/>
      <c r="Q354" s="3"/>
      <c r="R354" s="5">
        <f t="shared" si="54"/>
        <v>0</v>
      </c>
      <c r="S354" s="5">
        <f t="shared" si="55"/>
        <v>0</v>
      </c>
    </row>
    <row r="355" spans="1:19">
      <c r="A355" s="3"/>
      <c r="B355" s="3"/>
      <c r="C355" s="3"/>
      <c r="D355" s="3"/>
      <c r="E355" s="3"/>
      <c r="F355" s="3"/>
      <c r="G355" s="3"/>
      <c r="H355" s="4"/>
      <c r="I355" s="3"/>
      <c r="J355" s="3"/>
      <c r="K355" s="3"/>
      <c r="L355" s="5">
        <f t="shared" si="52"/>
        <v>0</v>
      </c>
      <c r="M355" s="3"/>
      <c r="N355" s="3"/>
      <c r="O355" s="5">
        <f t="shared" si="53"/>
        <v>0</v>
      </c>
      <c r="P355" s="3"/>
      <c r="Q355" s="3"/>
      <c r="R355" s="5">
        <f t="shared" si="54"/>
        <v>0</v>
      </c>
      <c r="S355" s="5">
        <f t="shared" si="55"/>
        <v>0</v>
      </c>
    </row>
    <row r="356" spans="1:19">
      <c r="A356" s="3"/>
      <c r="B356" s="3"/>
      <c r="C356" s="3"/>
      <c r="D356" s="3"/>
      <c r="E356" s="3"/>
      <c r="F356" s="3"/>
      <c r="G356" s="3"/>
      <c r="H356" s="4"/>
      <c r="I356" s="3"/>
      <c r="J356" s="3"/>
      <c r="K356" s="3"/>
      <c r="L356" s="5">
        <f t="shared" si="52"/>
        <v>0</v>
      </c>
      <c r="M356" s="3"/>
      <c r="N356" s="3"/>
      <c r="O356" s="5">
        <f t="shared" si="53"/>
        <v>0</v>
      </c>
      <c r="P356" s="3"/>
      <c r="Q356" s="3"/>
      <c r="R356" s="5">
        <f t="shared" si="54"/>
        <v>0</v>
      </c>
      <c r="S356" s="5">
        <f t="shared" si="55"/>
        <v>0</v>
      </c>
    </row>
    <row r="357" spans="1:19">
      <c r="A357" s="3"/>
      <c r="B357" s="3"/>
      <c r="C357" s="3"/>
      <c r="D357" s="3"/>
      <c r="E357" s="3"/>
      <c r="F357" s="3"/>
      <c r="G357" s="3"/>
      <c r="H357" s="4"/>
      <c r="I357" s="3"/>
      <c r="J357" s="3"/>
      <c r="K357" s="3"/>
      <c r="L357" s="5">
        <f t="shared" si="52"/>
        <v>0</v>
      </c>
      <c r="M357" s="3"/>
      <c r="N357" s="3"/>
      <c r="O357" s="5">
        <f t="shared" si="53"/>
        <v>0</v>
      </c>
      <c r="P357" s="3"/>
      <c r="Q357" s="3"/>
      <c r="R357" s="5">
        <f t="shared" si="54"/>
        <v>0</v>
      </c>
      <c r="S357" s="5">
        <f t="shared" si="55"/>
        <v>0</v>
      </c>
    </row>
    <row r="358" spans="1:19">
      <c r="A358" s="3"/>
      <c r="B358" s="3"/>
      <c r="C358" s="3"/>
      <c r="D358" s="3"/>
      <c r="E358" s="3"/>
      <c r="F358" s="3"/>
      <c r="G358" s="3"/>
      <c r="H358" s="4"/>
      <c r="I358" s="3"/>
      <c r="J358" s="3"/>
      <c r="K358" s="3"/>
      <c r="L358" s="5">
        <f t="shared" si="52"/>
        <v>0</v>
      </c>
      <c r="M358" s="3"/>
      <c r="N358" s="3"/>
      <c r="O358" s="5">
        <f t="shared" si="53"/>
        <v>0</v>
      </c>
      <c r="P358" s="3"/>
      <c r="Q358" s="3"/>
      <c r="R358" s="5">
        <f t="shared" si="54"/>
        <v>0</v>
      </c>
      <c r="S358" s="5">
        <f t="shared" si="55"/>
        <v>0</v>
      </c>
    </row>
    <row r="359" spans="1:19">
      <c r="A359" s="3"/>
      <c r="B359" s="3"/>
      <c r="C359" s="3"/>
      <c r="D359" s="3"/>
      <c r="E359" s="3"/>
      <c r="F359" s="3"/>
      <c r="G359" s="3"/>
      <c r="H359" s="4"/>
      <c r="I359" s="3"/>
      <c r="J359" s="3"/>
      <c r="K359" s="3"/>
      <c r="L359" s="5">
        <f t="shared" si="52"/>
        <v>0</v>
      </c>
      <c r="M359" s="3"/>
      <c r="N359" s="3"/>
      <c r="O359" s="5">
        <f t="shared" si="53"/>
        <v>0</v>
      </c>
      <c r="P359" s="3"/>
      <c r="Q359" s="3"/>
      <c r="R359" s="5">
        <f t="shared" si="54"/>
        <v>0</v>
      </c>
      <c r="S359" s="5">
        <f t="shared" si="55"/>
        <v>0</v>
      </c>
    </row>
    <row r="360" spans="1:19">
      <c r="A360" s="3"/>
      <c r="B360" s="3"/>
      <c r="C360" s="3"/>
      <c r="D360" s="3"/>
      <c r="E360" s="3"/>
      <c r="F360" s="3"/>
      <c r="G360" s="3"/>
      <c r="H360" s="4"/>
      <c r="I360" s="3"/>
      <c r="J360" s="3"/>
      <c r="K360" s="3"/>
      <c r="L360" s="5">
        <f t="shared" si="52"/>
        <v>0</v>
      </c>
      <c r="M360" s="3"/>
      <c r="N360" s="3"/>
      <c r="O360" s="5">
        <f t="shared" si="53"/>
        <v>0</v>
      </c>
      <c r="P360" s="3"/>
      <c r="Q360" s="3"/>
      <c r="R360" s="5">
        <f t="shared" si="54"/>
        <v>0</v>
      </c>
      <c r="S360" s="5">
        <f t="shared" si="55"/>
        <v>0</v>
      </c>
    </row>
    <row r="361" spans="1:19">
      <c r="A361" s="3"/>
      <c r="B361" s="3"/>
      <c r="C361" s="3"/>
      <c r="D361" s="3"/>
      <c r="E361" s="3"/>
      <c r="F361" s="3"/>
      <c r="G361" s="3"/>
      <c r="H361" s="4"/>
      <c r="I361" s="3"/>
      <c r="J361" s="3"/>
      <c r="K361" s="3"/>
      <c r="L361" s="5">
        <f t="shared" si="52"/>
        <v>0</v>
      </c>
      <c r="M361" s="3"/>
      <c r="N361" s="3"/>
      <c r="O361" s="5">
        <f t="shared" si="53"/>
        <v>0</v>
      </c>
      <c r="P361" s="3"/>
      <c r="Q361" s="3"/>
      <c r="R361" s="5">
        <f t="shared" si="54"/>
        <v>0</v>
      </c>
      <c r="S361" s="5">
        <f t="shared" si="55"/>
        <v>0</v>
      </c>
    </row>
    <row r="362" spans="1:19">
      <c r="A362" s="3"/>
      <c r="B362" s="3"/>
      <c r="C362" s="3"/>
      <c r="D362" s="3"/>
      <c r="E362" s="3"/>
      <c r="F362" s="3"/>
      <c r="G362" s="3"/>
      <c r="H362" s="4"/>
      <c r="I362" s="3"/>
      <c r="J362" s="3"/>
      <c r="K362" s="3"/>
      <c r="L362" s="5">
        <f t="shared" si="52"/>
        <v>0</v>
      </c>
      <c r="M362" s="3"/>
      <c r="N362" s="3"/>
      <c r="O362" s="5">
        <f t="shared" si="53"/>
        <v>0</v>
      </c>
      <c r="P362" s="3"/>
      <c r="Q362" s="3"/>
      <c r="R362" s="5">
        <f t="shared" si="54"/>
        <v>0</v>
      </c>
      <c r="S362" s="5">
        <f t="shared" si="55"/>
        <v>0</v>
      </c>
    </row>
    <row r="363" spans="1:19">
      <c r="A363" s="3"/>
      <c r="B363" s="3"/>
      <c r="C363" s="3"/>
      <c r="D363" s="3"/>
      <c r="E363" s="3"/>
      <c r="F363" s="3"/>
      <c r="G363" s="3"/>
      <c r="H363" s="4"/>
      <c r="I363" s="3"/>
      <c r="J363" s="3"/>
      <c r="K363" s="3"/>
      <c r="L363" s="5">
        <f t="shared" si="52"/>
        <v>0</v>
      </c>
      <c r="M363" s="3"/>
      <c r="N363" s="3"/>
      <c r="O363" s="5">
        <f t="shared" si="53"/>
        <v>0</v>
      </c>
      <c r="P363" s="3"/>
      <c r="Q363" s="3"/>
      <c r="R363" s="5">
        <f t="shared" si="54"/>
        <v>0</v>
      </c>
      <c r="S363" s="5">
        <f t="shared" si="55"/>
        <v>0</v>
      </c>
    </row>
    <row r="364" spans="1:19">
      <c r="A364" s="3"/>
      <c r="B364" s="3"/>
      <c r="C364" s="3"/>
      <c r="D364" s="3"/>
      <c r="E364" s="3"/>
      <c r="F364" s="3"/>
      <c r="G364" s="3"/>
      <c r="H364" s="4"/>
      <c r="I364" s="3"/>
      <c r="J364" s="3"/>
      <c r="K364" s="3"/>
      <c r="L364" s="5">
        <f t="shared" si="52"/>
        <v>0</v>
      </c>
      <c r="M364" s="3"/>
      <c r="N364" s="3"/>
      <c r="O364" s="5">
        <f t="shared" si="53"/>
        <v>0</v>
      </c>
      <c r="P364" s="3"/>
      <c r="Q364" s="3"/>
      <c r="R364" s="5">
        <f t="shared" si="54"/>
        <v>0</v>
      </c>
      <c r="S364" s="5">
        <f t="shared" si="55"/>
        <v>0</v>
      </c>
    </row>
    <row r="365" spans="1:19">
      <c r="A365" s="3"/>
      <c r="B365" s="3"/>
      <c r="C365" s="3"/>
      <c r="D365" s="3"/>
      <c r="E365" s="3"/>
      <c r="F365" s="3"/>
      <c r="G365" s="3"/>
      <c r="H365" s="4"/>
      <c r="I365" s="3"/>
      <c r="J365" s="3"/>
      <c r="K365" s="3"/>
      <c r="L365" s="5">
        <f t="shared" si="52"/>
        <v>0</v>
      </c>
      <c r="M365" s="3"/>
      <c r="N365" s="3"/>
      <c r="O365" s="5">
        <f t="shared" si="53"/>
        <v>0</v>
      </c>
      <c r="P365" s="3"/>
      <c r="Q365" s="3"/>
      <c r="R365" s="5">
        <f t="shared" si="54"/>
        <v>0</v>
      </c>
      <c r="S365" s="5">
        <f t="shared" si="55"/>
        <v>0</v>
      </c>
    </row>
    <row r="366" spans="1:19">
      <c r="A366" s="3"/>
      <c r="B366" s="3"/>
      <c r="C366" s="3"/>
      <c r="D366" s="3"/>
      <c r="E366" s="3"/>
      <c r="F366" s="3"/>
      <c r="G366" s="3"/>
      <c r="H366" s="4"/>
      <c r="I366" s="3"/>
      <c r="J366" s="3"/>
      <c r="K366" s="3"/>
      <c r="L366" s="5">
        <f t="shared" si="52"/>
        <v>0</v>
      </c>
      <c r="M366" s="3"/>
      <c r="N366" s="3"/>
      <c r="O366" s="5">
        <f t="shared" si="53"/>
        <v>0</v>
      </c>
      <c r="P366" s="3"/>
      <c r="Q366" s="3"/>
      <c r="R366" s="5">
        <f t="shared" si="54"/>
        <v>0</v>
      </c>
      <c r="S366" s="5">
        <f t="shared" si="55"/>
        <v>0</v>
      </c>
    </row>
    <row r="367" spans="1:19">
      <c r="A367" s="3"/>
      <c r="B367" s="3"/>
      <c r="C367" s="3"/>
      <c r="D367" s="3"/>
      <c r="E367" s="3"/>
      <c r="F367" s="3"/>
      <c r="G367" s="3"/>
      <c r="H367" s="4"/>
      <c r="I367" s="3"/>
      <c r="J367" s="3"/>
      <c r="K367" s="3"/>
      <c r="L367" s="5">
        <f t="shared" si="52"/>
        <v>0</v>
      </c>
      <c r="M367" s="3"/>
      <c r="N367" s="3"/>
      <c r="O367" s="5">
        <f t="shared" si="53"/>
        <v>0</v>
      </c>
      <c r="P367" s="3"/>
      <c r="Q367" s="3"/>
      <c r="R367" s="5">
        <f t="shared" si="54"/>
        <v>0</v>
      </c>
      <c r="S367" s="5">
        <f t="shared" si="55"/>
        <v>0</v>
      </c>
    </row>
    <row r="368" spans="1:19">
      <c r="A368" s="3"/>
      <c r="B368" s="3"/>
      <c r="C368" s="3"/>
      <c r="D368" s="3"/>
      <c r="E368" s="3"/>
      <c r="F368" s="3"/>
      <c r="G368" s="3"/>
      <c r="H368" s="4"/>
      <c r="I368" s="3"/>
      <c r="J368" s="3"/>
      <c r="K368" s="3"/>
      <c r="L368" s="5">
        <f t="shared" si="52"/>
        <v>0</v>
      </c>
      <c r="M368" s="3"/>
      <c r="N368" s="3"/>
      <c r="O368" s="5">
        <f t="shared" si="53"/>
        <v>0</v>
      </c>
      <c r="P368" s="3"/>
      <c r="Q368" s="3"/>
      <c r="R368" s="5">
        <f t="shared" si="54"/>
        <v>0</v>
      </c>
      <c r="S368" s="5">
        <f t="shared" si="55"/>
        <v>0</v>
      </c>
    </row>
    <row r="369" spans="1:19">
      <c r="A369" s="3"/>
      <c r="B369" s="3"/>
      <c r="C369" s="3"/>
      <c r="D369" s="3"/>
      <c r="E369" s="3"/>
      <c r="F369" s="3"/>
      <c r="G369" s="3"/>
      <c r="H369" s="4"/>
      <c r="I369" s="3"/>
      <c r="J369" s="3"/>
      <c r="K369" s="3"/>
      <c r="L369" s="5">
        <f t="shared" si="52"/>
        <v>0</v>
      </c>
      <c r="M369" s="3"/>
      <c r="N369" s="3"/>
      <c r="O369" s="5">
        <f t="shared" si="53"/>
        <v>0</v>
      </c>
      <c r="P369" s="3"/>
      <c r="Q369" s="3"/>
      <c r="R369" s="5">
        <f t="shared" si="54"/>
        <v>0</v>
      </c>
      <c r="S369" s="5">
        <f t="shared" si="55"/>
        <v>0</v>
      </c>
    </row>
    <row r="370" spans="1:19">
      <c r="A370" s="3"/>
      <c r="B370" s="3"/>
      <c r="C370" s="3"/>
      <c r="D370" s="3"/>
      <c r="E370" s="3"/>
      <c r="F370" s="3"/>
      <c r="G370" s="3"/>
      <c r="H370" s="4"/>
      <c r="I370" s="3"/>
      <c r="J370" s="3"/>
      <c r="K370" s="3"/>
      <c r="L370" s="5">
        <f t="shared" si="52"/>
        <v>0</v>
      </c>
      <c r="M370" s="3"/>
      <c r="N370" s="3"/>
      <c r="O370" s="5">
        <f t="shared" si="53"/>
        <v>0</v>
      </c>
      <c r="P370" s="3"/>
      <c r="Q370" s="3"/>
      <c r="R370" s="5">
        <f t="shared" si="54"/>
        <v>0</v>
      </c>
      <c r="S370" s="5">
        <f t="shared" si="55"/>
        <v>0</v>
      </c>
    </row>
    <row r="371" spans="1:19">
      <c r="A371" s="3"/>
      <c r="B371" s="3"/>
      <c r="C371" s="3"/>
      <c r="D371" s="3"/>
      <c r="E371" s="3"/>
      <c r="F371" s="3"/>
      <c r="G371" s="3"/>
      <c r="H371" s="4"/>
      <c r="I371" s="3"/>
      <c r="J371" s="3"/>
      <c r="K371" s="3"/>
      <c r="L371" s="5">
        <f t="shared" si="52"/>
        <v>0</v>
      </c>
      <c r="M371" s="3"/>
      <c r="N371" s="3"/>
      <c r="O371" s="5">
        <f t="shared" si="53"/>
        <v>0</v>
      </c>
      <c r="P371" s="3"/>
      <c r="Q371" s="3"/>
      <c r="R371" s="5">
        <f t="shared" si="54"/>
        <v>0</v>
      </c>
      <c r="S371" s="5">
        <f t="shared" si="55"/>
        <v>0</v>
      </c>
    </row>
    <row r="372" spans="1:19">
      <c r="A372" s="3"/>
      <c r="B372" s="3"/>
      <c r="C372" s="3"/>
      <c r="D372" s="3"/>
      <c r="E372" s="3"/>
      <c r="F372" s="3"/>
      <c r="G372" s="3"/>
      <c r="H372" s="4"/>
      <c r="I372" s="3"/>
      <c r="J372" s="3"/>
      <c r="K372" s="3"/>
      <c r="L372" s="5">
        <f t="shared" si="52"/>
        <v>0</v>
      </c>
      <c r="M372" s="3"/>
      <c r="N372" s="3"/>
      <c r="O372" s="5">
        <f t="shared" si="53"/>
        <v>0</v>
      </c>
      <c r="P372" s="3"/>
      <c r="Q372" s="3"/>
      <c r="R372" s="5">
        <f t="shared" si="54"/>
        <v>0</v>
      </c>
      <c r="S372" s="5">
        <f t="shared" si="55"/>
        <v>0</v>
      </c>
    </row>
    <row r="373" spans="1:19">
      <c r="A373" s="3"/>
      <c r="B373" s="3"/>
      <c r="C373" s="3"/>
      <c r="D373" s="3"/>
      <c r="E373" s="3"/>
      <c r="F373" s="3"/>
      <c r="G373" s="3"/>
      <c r="H373" s="4"/>
      <c r="I373" s="3"/>
      <c r="J373" s="3"/>
      <c r="K373" s="3"/>
      <c r="L373" s="5">
        <f t="shared" si="52"/>
        <v>0</v>
      </c>
      <c r="M373" s="3"/>
      <c r="N373" s="3"/>
      <c r="O373" s="5">
        <f t="shared" si="53"/>
        <v>0</v>
      </c>
      <c r="P373" s="3"/>
      <c r="Q373" s="3"/>
      <c r="R373" s="5">
        <f t="shared" si="54"/>
        <v>0</v>
      </c>
      <c r="S373" s="5">
        <f t="shared" si="55"/>
        <v>0</v>
      </c>
    </row>
    <row r="374" spans="1:19">
      <c r="A374" s="3"/>
      <c r="B374" s="3"/>
      <c r="C374" s="3"/>
      <c r="D374" s="3"/>
      <c r="E374" s="3"/>
      <c r="F374" s="3"/>
      <c r="G374" s="3"/>
      <c r="H374" s="4"/>
      <c r="I374" s="3"/>
      <c r="J374" s="3"/>
      <c r="K374" s="3"/>
      <c r="L374" s="5">
        <f t="shared" si="52"/>
        <v>0</v>
      </c>
      <c r="M374" s="3"/>
      <c r="N374" s="3"/>
      <c r="O374" s="5">
        <f t="shared" si="53"/>
        <v>0</v>
      </c>
      <c r="P374" s="3"/>
      <c r="Q374" s="3"/>
      <c r="R374" s="5">
        <f t="shared" si="54"/>
        <v>0</v>
      </c>
      <c r="S374" s="5">
        <f t="shared" si="55"/>
        <v>0</v>
      </c>
    </row>
    <row r="375" spans="1:19">
      <c r="A375" s="3"/>
      <c r="B375" s="3"/>
      <c r="C375" s="3"/>
      <c r="D375" s="3"/>
      <c r="E375" s="3"/>
      <c r="F375" s="3"/>
      <c r="G375" s="3"/>
      <c r="H375" s="4"/>
      <c r="I375" s="3"/>
      <c r="J375" s="3"/>
      <c r="K375" s="3"/>
      <c r="L375" s="5">
        <f t="shared" si="52"/>
        <v>0</v>
      </c>
      <c r="M375" s="3"/>
      <c r="N375" s="3"/>
      <c r="O375" s="5">
        <f t="shared" si="53"/>
        <v>0</v>
      </c>
      <c r="P375" s="3"/>
      <c r="Q375" s="3"/>
      <c r="R375" s="5">
        <f t="shared" si="54"/>
        <v>0</v>
      </c>
      <c r="S375" s="5">
        <f t="shared" si="55"/>
        <v>0</v>
      </c>
    </row>
    <row r="376" spans="1:19">
      <c r="A376" s="3"/>
      <c r="B376" s="3"/>
      <c r="C376" s="3"/>
      <c r="D376" s="3"/>
      <c r="E376" s="3"/>
      <c r="F376" s="3"/>
      <c r="G376" s="3"/>
      <c r="H376" s="4"/>
      <c r="I376" s="3"/>
      <c r="J376" s="3"/>
      <c r="K376" s="3"/>
      <c r="L376" s="5">
        <f t="shared" si="52"/>
        <v>0</v>
      </c>
      <c r="M376" s="3"/>
      <c r="N376" s="3"/>
      <c r="O376" s="5">
        <f t="shared" si="53"/>
        <v>0</v>
      </c>
      <c r="P376" s="3"/>
      <c r="Q376" s="3"/>
      <c r="R376" s="5">
        <f t="shared" si="54"/>
        <v>0</v>
      </c>
      <c r="S376" s="5">
        <f t="shared" si="55"/>
        <v>0</v>
      </c>
    </row>
    <row r="377" spans="1:19">
      <c r="A377" s="3"/>
      <c r="B377" s="3"/>
      <c r="C377" s="3"/>
      <c r="D377" s="3"/>
      <c r="E377" s="3"/>
      <c r="F377" s="3"/>
      <c r="G377" s="3"/>
      <c r="H377" s="4"/>
      <c r="I377" s="3"/>
      <c r="J377" s="3"/>
      <c r="K377" s="3"/>
      <c r="L377" s="5">
        <f t="shared" si="52"/>
        <v>0</v>
      </c>
      <c r="M377" s="3"/>
      <c r="N377" s="3"/>
      <c r="O377" s="5">
        <f t="shared" si="53"/>
        <v>0</v>
      </c>
      <c r="P377" s="3"/>
      <c r="Q377" s="3"/>
      <c r="R377" s="5">
        <f t="shared" si="54"/>
        <v>0</v>
      </c>
      <c r="S377" s="5">
        <f t="shared" si="55"/>
        <v>0</v>
      </c>
    </row>
    <row r="378" spans="1:19">
      <c r="A378" s="3"/>
      <c r="B378" s="3"/>
      <c r="C378" s="3"/>
      <c r="D378" s="3"/>
      <c r="E378" s="3"/>
      <c r="F378" s="3"/>
      <c r="G378" s="3"/>
      <c r="H378" s="4"/>
      <c r="I378" s="3"/>
      <c r="J378" s="3"/>
      <c r="K378" s="3"/>
      <c r="L378" s="5">
        <f t="shared" si="52"/>
        <v>0</v>
      </c>
      <c r="M378" s="3"/>
      <c r="N378" s="3"/>
      <c r="O378" s="5">
        <f t="shared" si="53"/>
        <v>0</v>
      </c>
      <c r="P378" s="3"/>
      <c r="Q378" s="3"/>
      <c r="R378" s="5">
        <f t="shared" si="54"/>
        <v>0</v>
      </c>
      <c r="S378" s="5">
        <f t="shared" si="55"/>
        <v>0</v>
      </c>
    </row>
    <row r="379" spans="1:19">
      <c r="A379" s="3"/>
      <c r="B379" s="3"/>
      <c r="C379" s="3"/>
      <c r="D379" s="3"/>
      <c r="E379" s="3"/>
      <c r="F379" s="3"/>
      <c r="G379" s="3"/>
      <c r="H379" s="4"/>
      <c r="I379" s="3"/>
      <c r="J379" s="3"/>
      <c r="K379" s="3"/>
      <c r="L379" s="5">
        <f t="shared" si="52"/>
        <v>0</v>
      </c>
      <c r="M379" s="3"/>
      <c r="N379" s="3"/>
      <c r="O379" s="5">
        <f t="shared" si="53"/>
        <v>0</v>
      </c>
      <c r="P379" s="3"/>
      <c r="Q379" s="3"/>
      <c r="R379" s="5">
        <f t="shared" si="54"/>
        <v>0</v>
      </c>
      <c r="S379" s="5">
        <f t="shared" si="55"/>
        <v>0</v>
      </c>
    </row>
    <row r="380" spans="1:19">
      <c r="A380" s="3"/>
      <c r="B380" s="3"/>
      <c r="C380" s="3"/>
      <c r="D380" s="3"/>
      <c r="E380" s="3"/>
      <c r="F380" s="3"/>
      <c r="G380" s="3"/>
      <c r="H380" s="4"/>
      <c r="I380" s="3"/>
      <c r="J380" s="3"/>
      <c r="K380" s="3"/>
      <c r="L380" s="5">
        <f>I380-(J380*K380)</f>
        <v>0</v>
      </c>
      <c r="M380" s="3"/>
      <c r="N380" s="3"/>
      <c r="O380" s="5">
        <f>L380-(M380*N380)</f>
        <v>0</v>
      </c>
      <c r="P380" s="3"/>
      <c r="Q380" s="3"/>
      <c r="R380" s="5">
        <f>O380-(P380*Q380)</f>
        <v>0</v>
      </c>
      <c r="S380" s="5">
        <f>IF(AND(A380&lt;&gt;"",OR(B380="",C380="",H380="")),1,0)+IF(AND(A380&lt;&gt;"",D380=""),1,0)+IF(AND(D380="Yes",OR(G380="",E380&lt;&gt;"",F380&lt;&gt;"")),1,0)+IF(AND(D380="No",OR(G380&lt;&gt;"",E380="")),1,0)+IF(R380&lt;&gt;0,1,0)</f>
        <v>0</v>
      </c>
    </row>
    <row r="381" spans="1:19">
      <c r="A381" s="3"/>
      <c r="B381" s="3"/>
      <c r="C381" s="3"/>
      <c r="D381" s="3"/>
      <c r="E381" s="3"/>
      <c r="F381" s="3"/>
      <c r="G381" s="3"/>
      <c r="H381" s="4"/>
      <c r="I381" s="3"/>
      <c r="J381" s="3"/>
      <c r="K381" s="3"/>
      <c r="L381" s="5">
        <f t="shared" si="52"/>
        <v>0</v>
      </c>
      <c r="M381" s="3"/>
      <c r="N381" s="3"/>
      <c r="O381" s="5">
        <f t="shared" si="53"/>
        <v>0</v>
      </c>
      <c r="P381" s="3"/>
      <c r="Q381" s="3"/>
      <c r="R381" s="5">
        <f t="shared" si="54"/>
        <v>0</v>
      </c>
      <c r="S381" s="5">
        <f t="shared" si="55"/>
        <v>0</v>
      </c>
    </row>
    <row r="382" spans="1:19">
      <c r="A382" s="3"/>
      <c r="B382" s="3"/>
      <c r="C382" s="3"/>
      <c r="D382" s="3"/>
      <c r="E382" s="3"/>
      <c r="F382" s="3"/>
      <c r="G382" s="3"/>
      <c r="H382" s="4"/>
      <c r="I382" s="3"/>
      <c r="J382" s="3"/>
      <c r="K382" s="3"/>
      <c r="L382" s="5">
        <f t="shared" si="52"/>
        <v>0</v>
      </c>
      <c r="M382" s="3"/>
      <c r="N382" s="3"/>
      <c r="O382" s="5">
        <f t="shared" si="53"/>
        <v>0</v>
      </c>
      <c r="P382" s="3"/>
      <c r="Q382" s="3"/>
      <c r="R382" s="5">
        <f t="shared" si="54"/>
        <v>0</v>
      </c>
      <c r="S382" s="5">
        <f t="shared" si="55"/>
        <v>0</v>
      </c>
    </row>
    <row r="383" spans="1:19">
      <c r="A383" s="3"/>
      <c r="B383" s="3"/>
      <c r="C383" s="3"/>
      <c r="D383" s="3"/>
      <c r="E383" s="3"/>
      <c r="F383" s="3"/>
      <c r="G383" s="3"/>
      <c r="H383" s="4"/>
      <c r="I383" s="3"/>
      <c r="J383" s="3"/>
      <c r="K383" s="3"/>
      <c r="L383" s="5">
        <f t="shared" ref="L383:L401" si="56">I383-(J383*K383)</f>
        <v>0</v>
      </c>
      <c r="M383" s="3"/>
      <c r="N383" s="3"/>
      <c r="O383" s="5">
        <f t="shared" ref="O383:O401" si="57">L383-(M383*N383)</f>
        <v>0</v>
      </c>
      <c r="P383" s="3"/>
      <c r="Q383" s="3"/>
      <c r="R383" s="5">
        <f t="shared" ref="R383:R401" si="58">O383-(P383*Q383)</f>
        <v>0</v>
      </c>
      <c r="S383" s="5">
        <f t="shared" ref="S383:S401" si="59">IF(AND(A383&lt;&gt;"",OR(B383="",C383="",H383="")),1,0)+IF(AND(A383&lt;&gt;"",D383=""),1,0)+IF(AND(D383="Yes",OR(G383="",E383&lt;&gt;"",F383&lt;&gt;"")),1,0)+IF(AND(D383="No",OR(G383&lt;&gt;"",E383="")),1,0)+IF(R383&lt;&gt;0,1,0)</f>
        <v>0</v>
      </c>
    </row>
    <row r="384" spans="1:19">
      <c r="A384" s="3"/>
      <c r="B384" s="3"/>
      <c r="C384" s="3"/>
      <c r="D384" s="3"/>
      <c r="E384" s="3"/>
      <c r="F384" s="3"/>
      <c r="G384" s="3"/>
      <c r="H384" s="4"/>
      <c r="I384" s="3"/>
      <c r="J384" s="3"/>
      <c r="K384" s="3"/>
      <c r="L384" s="5">
        <f t="shared" si="56"/>
        <v>0</v>
      </c>
      <c r="M384" s="3"/>
      <c r="N384" s="3"/>
      <c r="O384" s="5">
        <f t="shared" si="57"/>
        <v>0</v>
      </c>
      <c r="P384" s="3"/>
      <c r="Q384" s="3"/>
      <c r="R384" s="5">
        <f t="shared" si="58"/>
        <v>0</v>
      </c>
      <c r="S384" s="5">
        <f t="shared" si="59"/>
        <v>0</v>
      </c>
    </row>
    <row r="385" spans="1:19">
      <c r="A385" s="3"/>
      <c r="B385" s="3"/>
      <c r="C385" s="3"/>
      <c r="D385" s="3"/>
      <c r="E385" s="3"/>
      <c r="F385" s="3"/>
      <c r="G385" s="3"/>
      <c r="H385" s="4"/>
      <c r="I385" s="3"/>
      <c r="J385" s="3"/>
      <c r="K385" s="3"/>
      <c r="L385" s="5">
        <f t="shared" si="56"/>
        <v>0</v>
      </c>
      <c r="M385" s="3"/>
      <c r="N385" s="3"/>
      <c r="O385" s="5">
        <f t="shared" si="57"/>
        <v>0</v>
      </c>
      <c r="P385" s="3"/>
      <c r="Q385" s="3"/>
      <c r="R385" s="5">
        <f t="shared" si="58"/>
        <v>0</v>
      </c>
      <c r="S385" s="5">
        <f t="shared" si="59"/>
        <v>0</v>
      </c>
    </row>
    <row r="386" spans="1:19">
      <c r="A386" s="3"/>
      <c r="B386" s="3"/>
      <c r="C386" s="3"/>
      <c r="D386" s="3"/>
      <c r="E386" s="3"/>
      <c r="F386" s="3"/>
      <c r="G386" s="3"/>
      <c r="H386" s="4"/>
      <c r="I386" s="3"/>
      <c r="J386" s="3"/>
      <c r="K386" s="3"/>
      <c r="L386" s="5">
        <f t="shared" si="56"/>
        <v>0</v>
      </c>
      <c r="M386" s="3"/>
      <c r="N386" s="3"/>
      <c r="O386" s="5">
        <f t="shared" si="57"/>
        <v>0</v>
      </c>
      <c r="P386" s="3"/>
      <c r="Q386" s="3"/>
      <c r="R386" s="5">
        <f t="shared" si="58"/>
        <v>0</v>
      </c>
      <c r="S386" s="5">
        <f t="shared" si="59"/>
        <v>0</v>
      </c>
    </row>
    <row r="387" spans="1:19">
      <c r="A387" s="3"/>
      <c r="B387" s="3"/>
      <c r="C387" s="3"/>
      <c r="D387" s="3"/>
      <c r="E387" s="3"/>
      <c r="F387" s="3"/>
      <c r="G387" s="3"/>
      <c r="H387" s="4"/>
      <c r="I387" s="3"/>
      <c r="J387" s="3"/>
      <c r="K387" s="3"/>
      <c r="L387" s="5">
        <f t="shared" si="56"/>
        <v>0</v>
      </c>
      <c r="M387" s="3"/>
      <c r="N387" s="3"/>
      <c r="O387" s="5">
        <f t="shared" si="57"/>
        <v>0</v>
      </c>
      <c r="P387" s="3"/>
      <c r="Q387" s="3"/>
      <c r="R387" s="5">
        <f t="shared" si="58"/>
        <v>0</v>
      </c>
      <c r="S387" s="5">
        <f t="shared" si="59"/>
        <v>0</v>
      </c>
    </row>
    <row r="388" spans="1:19">
      <c r="A388" s="3"/>
      <c r="B388" s="3"/>
      <c r="C388" s="3"/>
      <c r="D388" s="3"/>
      <c r="E388" s="3"/>
      <c r="F388" s="3"/>
      <c r="G388" s="3"/>
      <c r="H388" s="4"/>
      <c r="I388" s="3"/>
      <c r="J388" s="3"/>
      <c r="K388" s="3"/>
      <c r="L388" s="5">
        <f t="shared" si="56"/>
        <v>0</v>
      </c>
      <c r="M388" s="3"/>
      <c r="N388" s="3"/>
      <c r="O388" s="5">
        <f t="shared" si="57"/>
        <v>0</v>
      </c>
      <c r="P388" s="3"/>
      <c r="Q388" s="3"/>
      <c r="R388" s="5">
        <f t="shared" si="58"/>
        <v>0</v>
      </c>
      <c r="S388" s="5">
        <f t="shared" si="59"/>
        <v>0</v>
      </c>
    </row>
    <row r="389" spans="1:19">
      <c r="A389" s="3"/>
      <c r="B389" s="3"/>
      <c r="C389" s="3"/>
      <c r="D389" s="3"/>
      <c r="E389" s="3"/>
      <c r="F389" s="3"/>
      <c r="G389" s="3"/>
      <c r="H389" s="4"/>
      <c r="I389" s="3"/>
      <c r="J389" s="3"/>
      <c r="K389" s="3"/>
      <c r="L389" s="5">
        <f t="shared" si="56"/>
        <v>0</v>
      </c>
      <c r="M389" s="3"/>
      <c r="N389" s="3"/>
      <c r="O389" s="5">
        <f t="shared" si="57"/>
        <v>0</v>
      </c>
      <c r="P389" s="3"/>
      <c r="Q389" s="3"/>
      <c r="R389" s="5">
        <f t="shared" si="58"/>
        <v>0</v>
      </c>
      <c r="S389" s="5">
        <f t="shared" si="59"/>
        <v>0</v>
      </c>
    </row>
    <row r="390" spans="1:19">
      <c r="A390" s="3"/>
      <c r="B390" s="3"/>
      <c r="C390" s="3"/>
      <c r="D390" s="3"/>
      <c r="E390" s="3"/>
      <c r="F390" s="3"/>
      <c r="G390" s="3"/>
      <c r="H390" s="4"/>
      <c r="I390" s="3"/>
      <c r="J390" s="3"/>
      <c r="K390" s="3"/>
      <c r="L390" s="5">
        <f t="shared" si="56"/>
        <v>0</v>
      </c>
      <c r="M390" s="3"/>
      <c r="N390" s="3"/>
      <c r="O390" s="5">
        <f t="shared" si="57"/>
        <v>0</v>
      </c>
      <c r="P390" s="3"/>
      <c r="Q390" s="3"/>
      <c r="R390" s="5">
        <f t="shared" si="58"/>
        <v>0</v>
      </c>
      <c r="S390" s="5">
        <f t="shared" si="59"/>
        <v>0</v>
      </c>
    </row>
    <row r="391" spans="1:19">
      <c r="A391" s="3"/>
      <c r="B391" s="3"/>
      <c r="C391" s="3"/>
      <c r="D391" s="3"/>
      <c r="E391" s="3"/>
      <c r="F391" s="3"/>
      <c r="G391" s="3"/>
      <c r="H391" s="4"/>
      <c r="I391" s="3"/>
      <c r="J391" s="3"/>
      <c r="K391" s="3"/>
      <c r="L391" s="5">
        <f t="shared" si="56"/>
        <v>0</v>
      </c>
      <c r="M391" s="3"/>
      <c r="N391" s="3"/>
      <c r="O391" s="5">
        <f t="shared" si="57"/>
        <v>0</v>
      </c>
      <c r="P391" s="3"/>
      <c r="Q391" s="3"/>
      <c r="R391" s="5">
        <f t="shared" si="58"/>
        <v>0</v>
      </c>
      <c r="S391" s="5">
        <f t="shared" si="59"/>
        <v>0</v>
      </c>
    </row>
    <row r="392" spans="1:19">
      <c r="A392" s="3"/>
      <c r="B392" s="3"/>
      <c r="C392" s="3"/>
      <c r="D392" s="3"/>
      <c r="E392" s="3"/>
      <c r="F392" s="3"/>
      <c r="G392" s="3"/>
      <c r="H392" s="4"/>
      <c r="I392" s="3"/>
      <c r="J392" s="3"/>
      <c r="K392" s="3"/>
      <c r="L392" s="5">
        <f>I392-(J392*K392)</f>
        <v>0</v>
      </c>
      <c r="M392" s="3"/>
      <c r="N392" s="3"/>
      <c r="O392" s="5">
        <f>L392-(M392*N392)</f>
        <v>0</v>
      </c>
      <c r="P392" s="3"/>
      <c r="Q392" s="3"/>
      <c r="R392" s="5">
        <f>O392-(P392*Q392)</f>
        <v>0</v>
      </c>
      <c r="S392" s="5">
        <f>IF(AND(A392&lt;&gt;"",OR(B392="",C392="",H392="")),1,0)+IF(AND(A392&lt;&gt;"",D392=""),1,0)+IF(AND(D392="Yes",OR(G392="",E392&lt;&gt;"",F392&lt;&gt;"")),1,0)+IF(AND(D392="No",OR(G392&lt;&gt;"",E392="")),1,0)+IF(R392&lt;&gt;0,1,0)</f>
        <v>0</v>
      </c>
    </row>
    <row r="393" spans="1:19">
      <c r="A393" s="3"/>
      <c r="B393" s="3"/>
      <c r="C393" s="3"/>
      <c r="D393" s="3"/>
      <c r="E393" s="3"/>
      <c r="F393" s="3"/>
      <c r="G393" s="3"/>
      <c r="H393" s="4"/>
      <c r="I393" s="3"/>
      <c r="J393" s="3"/>
      <c r="K393" s="3"/>
      <c r="L393" s="5">
        <f t="shared" si="56"/>
        <v>0</v>
      </c>
      <c r="M393" s="3"/>
      <c r="N393" s="3"/>
      <c r="O393" s="5">
        <f t="shared" si="57"/>
        <v>0</v>
      </c>
      <c r="P393" s="3"/>
      <c r="Q393" s="3"/>
      <c r="R393" s="5">
        <f t="shared" si="58"/>
        <v>0</v>
      </c>
      <c r="S393" s="5">
        <f t="shared" si="59"/>
        <v>0</v>
      </c>
    </row>
    <row r="394" spans="1:19">
      <c r="A394" s="3"/>
      <c r="B394" s="3"/>
      <c r="C394" s="3"/>
      <c r="D394" s="3"/>
      <c r="E394" s="3"/>
      <c r="F394" s="3"/>
      <c r="G394" s="3"/>
      <c r="H394" s="4"/>
      <c r="I394" s="3"/>
      <c r="J394" s="3"/>
      <c r="K394" s="3"/>
      <c r="L394" s="5">
        <f>I394-(J394*K394)</f>
        <v>0</v>
      </c>
      <c r="M394" s="3"/>
      <c r="N394" s="3"/>
      <c r="O394" s="5">
        <f>L394-(M394*N394)</f>
        <v>0</v>
      </c>
      <c r="P394" s="3"/>
      <c r="Q394" s="3"/>
      <c r="R394" s="5">
        <f>O394-(P394*Q394)</f>
        <v>0</v>
      </c>
      <c r="S394" s="5">
        <f>IF(AND(A394&lt;&gt;"",OR(B394="",C394="",H394="")),1,0)+IF(AND(A394&lt;&gt;"",D394=""),1,0)+IF(AND(D394="Yes",OR(G394="",E394&lt;&gt;"",F394&lt;&gt;"")),1,0)+IF(AND(D394="No",OR(G394&lt;&gt;"",E394="")),1,0)+IF(R394&lt;&gt;0,1,0)</f>
        <v>0</v>
      </c>
    </row>
    <row r="395" spans="1:19">
      <c r="A395" s="3"/>
      <c r="B395" s="3"/>
      <c r="C395" s="3"/>
      <c r="D395" s="3"/>
      <c r="E395" s="3"/>
      <c r="F395" s="3"/>
      <c r="G395" s="3"/>
      <c r="H395" s="4"/>
      <c r="I395" s="3"/>
      <c r="J395" s="3"/>
      <c r="K395" s="3"/>
      <c r="L395" s="5">
        <f t="shared" si="56"/>
        <v>0</v>
      </c>
      <c r="M395" s="3"/>
      <c r="N395" s="3"/>
      <c r="O395" s="5">
        <f t="shared" si="57"/>
        <v>0</v>
      </c>
      <c r="P395" s="3"/>
      <c r="Q395" s="3"/>
      <c r="R395" s="5">
        <f t="shared" si="58"/>
        <v>0</v>
      </c>
      <c r="S395" s="5">
        <f t="shared" si="59"/>
        <v>0</v>
      </c>
    </row>
    <row r="396" spans="1:19">
      <c r="A396" s="3"/>
      <c r="B396" s="3"/>
      <c r="C396" s="3"/>
      <c r="D396" s="3"/>
      <c r="E396" s="3"/>
      <c r="F396" s="3"/>
      <c r="G396" s="3"/>
      <c r="H396" s="4"/>
      <c r="I396" s="3"/>
      <c r="J396" s="3"/>
      <c r="K396" s="3"/>
      <c r="L396" s="5">
        <f t="shared" si="56"/>
        <v>0</v>
      </c>
      <c r="M396" s="3"/>
      <c r="N396" s="3"/>
      <c r="O396" s="5">
        <f t="shared" si="57"/>
        <v>0</v>
      </c>
      <c r="P396" s="3"/>
      <c r="Q396" s="3"/>
      <c r="R396" s="5">
        <f t="shared" si="58"/>
        <v>0</v>
      </c>
      <c r="S396" s="5">
        <f t="shared" si="59"/>
        <v>0</v>
      </c>
    </row>
    <row r="397" spans="1:19">
      <c r="A397" s="3"/>
      <c r="B397" s="3"/>
      <c r="C397" s="3"/>
      <c r="D397" s="3"/>
      <c r="E397" s="3"/>
      <c r="F397" s="3"/>
      <c r="G397" s="3"/>
      <c r="H397" s="4"/>
      <c r="I397" s="3"/>
      <c r="J397" s="3"/>
      <c r="K397" s="3"/>
      <c r="L397" s="5">
        <f t="shared" si="56"/>
        <v>0</v>
      </c>
      <c r="M397" s="3"/>
      <c r="N397" s="3"/>
      <c r="O397" s="5">
        <f t="shared" si="57"/>
        <v>0</v>
      </c>
      <c r="P397" s="3"/>
      <c r="Q397" s="3"/>
      <c r="R397" s="5">
        <f t="shared" si="58"/>
        <v>0</v>
      </c>
      <c r="S397" s="5">
        <f t="shared" si="59"/>
        <v>0</v>
      </c>
    </row>
    <row r="398" spans="1:19">
      <c r="A398" s="3"/>
      <c r="B398" s="3"/>
      <c r="C398" s="3"/>
      <c r="D398" s="3"/>
      <c r="E398" s="3"/>
      <c r="F398" s="3"/>
      <c r="G398" s="3"/>
      <c r="H398" s="4"/>
      <c r="I398" s="3"/>
      <c r="J398" s="3"/>
      <c r="K398" s="3"/>
      <c r="L398" s="5">
        <f t="shared" si="56"/>
        <v>0</v>
      </c>
      <c r="M398" s="3"/>
      <c r="N398" s="3"/>
      <c r="O398" s="5">
        <f t="shared" si="57"/>
        <v>0</v>
      </c>
      <c r="P398" s="3"/>
      <c r="Q398" s="3"/>
      <c r="R398" s="5">
        <f t="shared" si="58"/>
        <v>0</v>
      </c>
      <c r="S398" s="5">
        <f t="shared" si="59"/>
        <v>0</v>
      </c>
    </row>
    <row r="399" spans="1:19">
      <c r="A399" s="3"/>
      <c r="B399" s="3"/>
      <c r="C399" s="3"/>
      <c r="D399" s="3"/>
      <c r="E399" s="3"/>
      <c r="F399" s="3"/>
      <c r="G399" s="3"/>
      <c r="H399" s="4"/>
      <c r="I399" s="3"/>
      <c r="J399" s="3"/>
      <c r="K399" s="3"/>
      <c r="L399" s="5">
        <f t="shared" si="56"/>
        <v>0</v>
      </c>
      <c r="M399" s="3"/>
      <c r="N399" s="3"/>
      <c r="O399" s="5">
        <f t="shared" si="57"/>
        <v>0</v>
      </c>
      <c r="P399" s="3"/>
      <c r="Q399" s="3"/>
      <c r="R399" s="5">
        <f t="shared" si="58"/>
        <v>0</v>
      </c>
      <c r="S399" s="5">
        <f t="shared" si="59"/>
        <v>0</v>
      </c>
    </row>
    <row r="400" spans="1:19">
      <c r="A400" s="3"/>
      <c r="B400" s="3"/>
      <c r="C400" s="3"/>
      <c r="D400" s="3"/>
      <c r="E400" s="3"/>
      <c r="F400" s="3"/>
      <c r="G400" s="3"/>
      <c r="H400" s="4"/>
      <c r="I400" s="3"/>
      <c r="J400" s="3"/>
      <c r="K400" s="3"/>
      <c r="L400" s="5">
        <f t="shared" si="56"/>
        <v>0</v>
      </c>
      <c r="M400" s="3"/>
      <c r="N400" s="3"/>
      <c r="O400" s="5">
        <f t="shared" si="57"/>
        <v>0</v>
      </c>
      <c r="P400" s="3"/>
      <c r="Q400" s="3"/>
      <c r="R400" s="5">
        <f t="shared" si="58"/>
        <v>0</v>
      </c>
      <c r="S400" s="5">
        <f t="shared" si="59"/>
        <v>0</v>
      </c>
    </row>
    <row r="401" spans="1:19">
      <c r="A401" s="3"/>
      <c r="B401" s="3"/>
      <c r="C401" s="3"/>
      <c r="D401" s="3"/>
      <c r="E401" s="3"/>
      <c r="F401" s="3"/>
      <c r="G401" s="3"/>
      <c r="H401" s="4"/>
      <c r="I401" s="3"/>
      <c r="J401" s="3"/>
      <c r="K401" s="3"/>
      <c r="L401" s="5">
        <f t="shared" si="56"/>
        <v>0</v>
      </c>
      <c r="M401" s="3"/>
      <c r="N401" s="3"/>
      <c r="O401" s="5">
        <f t="shared" si="57"/>
        <v>0</v>
      </c>
      <c r="P401" s="3"/>
      <c r="Q401" s="3"/>
      <c r="R401" s="5">
        <f t="shared" si="58"/>
        <v>0</v>
      </c>
      <c r="S401" s="5">
        <f t="shared" si="59"/>
        <v>0</v>
      </c>
    </row>
    <row r="402" spans="1:19">
      <c r="A402" s="3"/>
      <c r="B402" s="3"/>
      <c r="C402" s="3"/>
      <c r="D402" s="3"/>
      <c r="E402" s="3"/>
      <c r="F402" s="3"/>
      <c r="G402" s="3"/>
      <c r="H402" s="4"/>
      <c r="I402" s="3"/>
      <c r="J402" s="3"/>
      <c r="K402" s="3"/>
      <c r="L402" s="67">
        <f t="shared" ref="L402:L421" si="60">I402-(J402*K402)</f>
        <v>0</v>
      </c>
      <c r="M402" s="3"/>
      <c r="N402" s="3"/>
      <c r="O402" s="67">
        <f t="shared" ref="O402:O421" si="61">L402-(M402*N402)</f>
        <v>0</v>
      </c>
      <c r="P402" s="3"/>
      <c r="Q402" s="3"/>
      <c r="R402" s="67">
        <f t="shared" ref="R402:R421" si="62">O402-(P402*Q402)</f>
        <v>0</v>
      </c>
      <c r="S402" s="67">
        <f t="shared" ref="S402:S421" si="63">IF(AND(A402&lt;&gt;"",OR(B402="",C402="",H402="")),1,0)+IF(AND(A402&lt;&gt;"",D402=""),1,0)+IF(AND(D402="Yes",OR(G402="",E402&lt;&gt;"",F402&lt;&gt;"")),1,0)+IF(AND(D402="No",OR(G402&lt;&gt;"",E402="")),1,0)+IF(R402&lt;&gt;0,1,0)</f>
        <v>0</v>
      </c>
    </row>
    <row r="403" spans="1:19">
      <c r="A403" s="3"/>
      <c r="B403" s="3"/>
      <c r="C403" s="3"/>
      <c r="D403" s="3"/>
      <c r="E403" s="3"/>
      <c r="F403" s="3"/>
      <c r="G403" s="3"/>
      <c r="H403" s="4"/>
      <c r="I403" s="3"/>
      <c r="J403" s="3"/>
      <c r="K403" s="3"/>
      <c r="L403" s="67">
        <f t="shared" si="60"/>
        <v>0</v>
      </c>
      <c r="M403" s="3"/>
      <c r="N403" s="3"/>
      <c r="O403" s="67">
        <f t="shared" si="61"/>
        <v>0</v>
      </c>
      <c r="P403" s="3"/>
      <c r="Q403" s="3"/>
      <c r="R403" s="67">
        <f t="shared" si="62"/>
        <v>0</v>
      </c>
      <c r="S403" s="67">
        <f t="shared" si="63"/>
        <v>0</v>
      </c>
    </row>
    <row r="404" spans="1:19">
      <c r="A404" s="3"/>
      <c r="B404" s="3"/>
      <c r="C404" s="3"/>
      <c r="D404" s="3"/>
      <c r="E404" s="3"/>
      <c r="F404" s="3"/>
      <c r="G404" s="3"/>
      <c r="H404" s="4"/>
      <c r="I404" s="3"/>
      <c r="J404" s="3"/>
      <c r="K404" s="3"/>
      <c r="L404" s="67">
        <f t="shared" si="60"/>
        <v>0</v>
      </c>
      <c r="M404" s="3"/>
      <c r="N404" s="3"/>
      <c r="O404" s="67">
        <f t="shared" si="61"/>
        <v>0</v>
      </c>
      <c r="P404" s="3"/>
      <c r="Q404" s="3"/>
      <c r="R404" s="67">
        <f t="shared" si="62"/>
        <v>0</v>
      </c>
      <c r="S404" s="67">
        <f t="shared" si="63"/>
        <v>0</v>
      </c>
    </row>
    <row r="405" spans="1:19">
      <c r="A405" s="3"/>
      <c r="B405" s="3"/>
      <c r="C405" s="3"/>
      <c r="D405" s="3"/>
      <c r="E405" s="3"/>
      <c r="F405" s="3"/>
      <c r="G405" s="3"/>
      <c r="H405" s="4"/>
      <c r="I405" s="3"/>
      <c r="J405" s="3"/>
      <c r="K405" s="3"/>
      <c r="L405" s="67">
        <f t="shared" si="60"/>
        <v>0</v>
      </c>
      <c r="M405" s="3"/>
      <c r="N405" s="3"/>
      <c r="O405" s="67">
        <f t="shared" si="61"/>
        <v>0</v>
      </c>
      <c r="P405" s="3"/>
      <c r="Q405" s="3"/>
      <c r="R405" s="67">
        <f t="shared" si="62"/>
        <v>0</v>
      </c>
      <c r="S405" s="67">
        <f t="shared" si="63"/>
        <v>0</v>
      </c>
    </row>
    <row r="406" spans="1:19">
      <c r="A406" s="3"/>
      <c r="B406" s="3"/>
      <c r="C406" s="3"/>
      <c r="D406" s="3"/>
      <c r="E406" s="3"/>
      <c r="F406" s="3"/>
      <c r="G406" s="3"/>
      <c r="H406" s="4"/>
      <c r="I406" s="3"/>
      <c r="J406" s="3"/>
      <c r="K406" s="3"/>
      <c r="L406" s="67">
        <f t="shared" si="60"/>
        <v>0</v>
      </c>
      <c r="M406" s="3"/>
      <c r="N406" s="3"/>
      <c r="O406" s="67">
        <f t="shared" si="61"/>
        <v>0</v>
      </c>
      <c r="P406" s="3"/>
      <c r="Q406" s="3"/>
      <c r="R406" s="67">
        <f t="shared" si="62"/>
        <v>0</v>
      </c>
      <c r="S406" s="67">
        <f t="shared" si="63"/>
        <v>0</v>
      </c>
    </row>
    <row r="407" spans="1:19">
      <c r="A407" s="3"/>
      <c r="B407" s="3"/>
      <c r="C407" s="3"/>
      <c r="D407" s="3"/>
      <c r="E407" s="3"/>
      <c r="F407" s="3"/>
      <c r="G407" s="3"/>
      <c r="H407" s="4"/>
      <c r="I407" s="3"/>
      <c r="J407" s="3"/>
      <c r="K407" s="3"/>
      <c r="L407" s="67">
        <f t="shared" si="60"/>
        <v>0</v>
      </c>
      <c r="M407" s="3"/>
      <c r="N407" s="3"/>
      <c r="O407" s="67">
        <f t="shared" si="61"/>
        <v>0</v>
      </c>
      <c r="P407" s="3"/>
      <c r="Q407" s="3"/>
      <c r="R407" s="67">
        <f t="shared" si="62"/>
        <v>0</v>
      </c>
      <c r="S407" s="67">
        <f t="shared" si="63"/>
        <v>0</v>
      </c>
    </row>
    <row r="408" spans="1:19">
      <c r="A408" s="3"/>
      <c r="B408" s="3"/>
      <c r="C408" s="3"/>
      <c r="D408" s="3"/>
      <c r="E408" s="3"/>
      <c r="F408" s="3"/>
      <c r="G408" s="3"/>
      <c r="H408" s="4"/>
      <c r="I408" s="3"/>
      <c r="J408" s="3"/>
      <c r="K408" s="3"/>
      <c r="L408" s="67">
        <f t="shared" si="60"/>
        <v>0</v>
      </c>
      <c r="M408" s="3"/>
      <c r="N408" s="3"/>
      <c r="O408" s="67">
        <f t="shared" si="61"/>
        <v>0</v>
      </c>
      <c r="P408" s="3"/>
      <c r="Q408" s="3"/>
      <c r="R408" s="67">
        <f t="shared" si="62"/>
        <v>0</v>
      </c>
      <c r="S408" s="67">
        <f t="shared" si="63"/>
        <v>0</v>
      </c>
    </row>
    <row r="409" spans="1:19">
      <c r="A409" s="3"/>
      <c r="B409" s="3"/>
      <c r="C409" s="3"/>
      <c r="D409" s="3"/>
      <c r="E409" s="3"/>
      <c r="F409" s="3"/>
      <c r="G409" s="3"/>
      <c r="H409" s="4"/>
      <c r="I409" s="3"/>
      <c r="J409" s="3"/>
      <c r="K409" s="3"/>
      <c r="L409" s="67">
        <f t="shared" si="60"/>
        <v>0</v>
      </c>
      <c r="M409" s="3"/>
      <c r="N409" s="3"/>
      <c r="O409" s="67">
        <f t="shared" si="61"/>
        <v>0</v>
      </c>
      <c r="P409" s="3"/>
      <c r="Q409" s="3"/>
      <c r="R409" s="67">
        <f t="shared" si="62"/>
        <v>0</v>
      </c>
      <c r="S409" s="67">
        <f t="shared" si="63"/>
        <v>0</v>
      </c>
    </row>
    <row r="410" spans="1:19">
      <c r="A410" s="3"/>
      <c r="B410" s="3"/>
      <c r="C410" s="3"/>
      <c r="D410" s="3"/>
      <c r="E410" s="3"/>
      <c r="F410" s="3"/>
      <c r="G410" s="3"/>
      <c r="H410" s="4"/>
      <c r="I410" s="3"/>
      <c r="J410" s="3"/>
      <c r="K410" s="3"/>
      <c r="L410" s="67">
        <f t="shared" si="60"/>
        <v>0</v>
      </c>
      <c r="M410" s="3"/>
      <c r="N410" s="3"/>
      <c r="O410" s="67">
        <f t="shared" si="61"/>
        <v>0</v>
      </c>
      <c r="P410" s="3"/>
      <c r="Q410" s="3"/>
      <c r="R410" s="67">
        <f t="shared" si="62"/>
        <v>0</v>
      </c>
      <c r="S410" s="67">
        <f t="shared" si="63"/>
        <v>0</v>
      </c>
    </row>
    <row r="411" spans="1:19">
      <c r="A411" s="3"/>
      <c r="B411" s="3"/>
      <c r="C411" s="3"/>
      <c r="D411" s="3"/>
      <c r="E411" s="3"/>
      <c r="F411" s="3"/>
      <c r="G411" s="3"/>
      <c r="H411" s="4"/>
      <c r="I411" s="3"/>
      <c r="J411" s="3"/>
      <c r="K411" s="3"/>
      <c r="L411" s="67">
        <f t="shared" si="60"/>
        <v>0</v>
      </c>
      <c r="M411" s="3"/>
      <c r="N411" s="3"/>
      <c r="O411" s="67">
        <f t="shared" si="61"/>
        <v>0</v>
      </c>
      <c r="P411" s="3"/>
      <c r="Q411" s="3"/>
      <c r="R411" s="67">
        <f t="shared" si="62"/>
        <v>0</v>
      </c>
      <c r="S411" s="67">
        <f t="shared" si="63"/>
        <v>0</v>
      </c>
    </row>
    <row r="412" spans="1:19">
      <c r="A412" s="3"/>
      <c r="B412" s="3"/>
      <c r="C412" s="3"/>
      <c r="D412" s="3"/>
      <c r="E412" s="3"/>
      <c r="F412" s="3"/>
      <c r="G412" s="3"/>
      <c r="H412" s="4"/>
      <c r="I412" s="3"/>
      <c r="J412" s="3"/>
      <c r="K412" s="3"/>
      <c r="L412" s="67">
        <f t="shared" si="60"/>
        <v>0</v>
      </c>
      <c r="M412" s="3"/>
      <c r="N412" s="3"/>
      <c r="O412" s="67">
        <f t="shared" si="61"/>
        <v>0</v>
      </c>
      <c r="P412" s="3"/>
      <c r="Q412" s="3"/>
      <c r="R412" s="67">
        <f t="shared" si="62"/>
        <v>0</v>
      </c>
      <c r="S412" s="67">
        <f t="shared" si="63"/>
        <v>0</v>
      </c>
    </row>
    <row r="413" spans="1:19">
      <c r="A413" s="3"/>
      <c r="B413" s="3"/>
      <c r="C413" s="3"/>
      <c r="D413" s="3"/>
      <c r="E413" s="3"/>
      <c r="F413" s="3"/>
      <c r="G413" s="3"/>
      <c r="H413" s="4"/>
      <c r="I413" s="3"/>
      <c r="J413" s="3"/>
      <c r="K413" s="3"/>
      <c r="L413" s="67">
        <f t="shared" si="60"/>
        <v>0</v>
      </c>
      <c r="M413" s="3"/>
      <c r="N413" s="3"/>
      <c r="O413" s="67">
        <f t="shared" si="61"/>
        <v>0</v>
      </c>
      <c r="P413" s="3"/>
      <c r="Q413" s="3"/>
      <c r="R413" s="67">
        <f t="shared" si="62"/>
        <v>0</v>
      </c>
      <c r="S413" s="67">
        <f t="shared" si="63"/>
        <v>0</v>
      </c>
    </row>
    <row r="414" spans="1:19">
      <c r="A414" s="3"/>
      <c r="B414" s="3"/>
      <c r="C414" s="3"/>
      <c r="D414" s="3"/>
      <c r="E414" s="3"/>
      <c r="F414" s="3"/>
      <c r="G414" s="3"/>
      <c r="H414" s="4"/>
      <c r="I414" s="3"/>
      <c r="J414" s="3"/>
      <c r="K414" s="3"/>
      <c r="L414" s="67">
        <f t="shared" si="60"/>
        <v>0</v>
      </c>
      <c r="M414" s="3"/>
      <c r="N414" s="3"/>
      <c r="O414" s="67">
        <f t="shared" si="61"/>
        <v>0</v>
      </c>
      <c r="P414" s="3"/>
      <c r="Q414" s="3"/>
      <c r="R414" s="67">
        <f t="shared" si="62"/>
        <v>0</v>
      </c>
      <c r="S414" s="67">
        <f t="shared" si="63"/>
        <v>0</v>
      </c>
    </row>
    <row r="415" spans="1:19">
      <c r="A415" s="3"/>
      <c r="B415" s="3"/>
      <c r="C415" s="3"/>
      <c r="D415" s="3"/>
      <c r="E415" s="3"/>
      <c r="F415" s="3"/>
      <c r="G415" s="3"/>
      <c r="H415" s="4"/>
      <c r="I415" s="3"/>
      <c r="J415" s="3"/>
      <c r="K415" s="3"/>
      <c r="L415" s="67">
        <f t="shared" si="60"/>
        <v>0</v>
      </c>
      <c r="M415" s="3"/>
      <c r="N415" s="3"/>
      <c r="O415" s="67">
        <f t="shared" si="61"/>
        <v>0</v>
      </c>
      <c r="P415" s="3"/>
      <c r="Q415" s="3"/>
      <c r="R415" s="67">
        <f t="shared" si="62"/>
        <v>0</v>
      </c>
      <c r="S415" s="67">
        <f t="shared" si="63"/>
        <v>0</v>
      </c>
    </row>
    <row r="416" spans="1:19">
      <c r="A416" s="3"/>
      <c r="B416" s="3"/>
      <c r="C416" s="3"/>
      <c r="D416" s="3"/>
      <c r="E416" s="3"/>
      <c r="F416" s="3"/>
      <c r="G416" s="3"/>
      <c r="H416" s="4"/>
      <c r="I416" s="3"/>
      <c r="J416" s="3"/>
      <c r="K416" s="3"/>
      <c r="L416" s="67">
        <f t="shared" si="60"/>
        <v>0</v>
      </c>
      <c r="M416" s="3"/>
      <c r="N416" s="3"/>
      <c r="O416" s="67">
        <f t="shared" si="61"/>
        <v>0</v>
      </c>
      <c r="P416" s="3"/>
      <c r="Q416" s="3"/>
      <c r="R416" s="67">
        <f t="shared" si="62"/>
        <v>0</v>
      </c>
      <c r="S416" s="67">
        <f t="shared" si="63"/>
        <v>0</v>
      </c>
    </row>
    <row r="417" spans="1:19">
      <c r="A417" s="3"/>
      <c r="B417" s="3"/>
      <c r="C417" s="3"/>
      <c r="D417" s="3"/>
      <c r="E417" s="3"/>
      <c r="F417" s="3"/>
      <c r="G417" s="3"/>
      <c r="H417" s="4"/>
      <c r="I417" s="3"/>
      <c r="J417" s="3"/>
      <c r="K417" s="3"/>
      <c r="L417" s="67">
        <f t="shared" si="60"/>
        <v>0</v>
      </c>
      <c r="M417" s="3"/>
      <c r="N417" s="3"/>
      <c r="O417" s="67">
        <f t="shared" si="61"/>
        <v>0</v>
      </c>
      <c r="P417" s="3"/>
      <c r="Q417" s="3"/>
      <c r="R417" s="67">
        <f t="shared" si="62"/>
        <v>0</v>
      </c>
      <c r="S417" s="67">
        <f t="shared" si="63"/>
        <v>0</v>
      </c>
    </row>
    <row r="418" spans="1:19">
      <c r="A418" s="3"/>
      <c r="B418" s="3"/>
      <c r="C418" s="3"/>
      <c r="D418" s="3"/>
      <c r="E418" s="3"/>
      <c r="F418" s="3"/>
      <c r="G418" s="3"/>
      <c r="H418" s="4"/>
      <c r="I418" s="3"/>
      <c r="J418" s="3"/>
      <c r="K418" s="3"/>
      <c r="L418" s="67">
        <f t="shared" si="60"/>
        <v>0</v>
      </c>
      <c r="M418" s="3"/>
      <c r="N418" s="3"/>
      <c r="O418" s="67">
        <f t="shared" si="61"/>
        <v>0</v>
      </c>
      <c r="P418" s="3"/>
      <c r="Q418" s="3"/>
      <c r="R418" s="67">
        <f t="shared" si="62"/>
        <v>0</v>
      </c>
      <c r="S418" s="67">
        <f t="shared" si="63"/>
        <v>0</v>
      </c>
    </row>
    <row r="419" spans="1:19">
      <c r="A419" s="3"/>
      <c r="B419" s="3"/>
      <c r="C419" s="3"/>
      <c r="D419" s="3"/>
      <c r="E419" s="3"/>
      <c r="F419" s="3"/>
      <c r="G419" s="3"/>
      <c r="H419" s="4"/>
      <c r="I419" s="3"/>
      <c r="J419" s="3"/>
      <c r="K419" s="3"/>
      <c r="L419" s="67">
        <f t="shared" si="60"/>
        <v>0</v>
      </c>
      <c r="M419" s="3"/>
      <c r="N419" s="3"/>
      <c r="O419" s="67">
        <f t="shared" si="61"/>
        <v>0</v>
      </c>
      <c r="P419" s="3"/>
      <c r="Q419" s="3"/>
      <c r="R419" s="67">
        <f t="shared" si="62"/>
        <v>0</v>
      </c>
      <c r="S419" s="67">
        <f t="shared" si="63"/>
        <v>0</v>
      </c>
    </row>
    <row r="420" spans="1:19">
      <c r="A420" s="3"/>
      <c r="B420" s="3"/>
      <c r="C420" s="3"/>
      <c r="D420" s="3"/>
      <c r="E420" s="3"/>
      <c r="F420" s="3"/>
      <c r="G420" s="3"/>
      <c r="H420" s="4"/>
      <c r="I420" s="3"/>
      <c r="J420" s="3"/>
      <c r="K420" s="3"/>
      <c r="L420" s="67">
        <f t="shared" si="60"/>
        <v>0</v>
      </c>
      <c r="M420" s="3"/>
      <c r="N420" s="3"/>
      <c r="O420" s="67">
        <f t="shared" si="61"/>
        <v>0</v>
      </c>
      <c r="P420" s="3"/>
      <c r="Q420" s="3"/>
      <c r="R420" s="67">
        <f t="shared" si="62"/>
        <v>0</v>
      </c>
      <c r="S420" s="67">
        <f t="shared" si="63"/>
        <v>0</v>
      </c>
    </row>
    <row r="421" spans="1:19">
      <c r="A421" s="3"/>
      <c r="B421" s="3"/>
      <c r="C421" s="3"/>
      <c r="D421" s="3"/>
      <c r="E421" s="3"/>
      <c r="F421" s="3"/>
      <c r="G421" s="3"/>
      <c r="H421" s="4"/>
      <c r="I421" s="3"/>
      <c r="J421" s="3"/>
      <c r="K421" s="3"/>
      <c r="L421" s="67">
        <f t="shared" si="60"/>
        <v>0</v>
      </c>
      <c r="M421" s="3"/>
      <c r="N421" s="3"/>
      <c r="O421" s="67">
        <f t="shared" si="61"/>
        <v>0</v>
      </c>
      <c r="P421" s="3"/>
      <c r="Q421" s="3"/>
      <c r="R421" s="67">
        <f t="shared" si="62"/>
        <v>0</v>
      </c>
      <c r="S421" s="67">
        <f t="shared" si="63"/>
        <v>0</v>
      </c>
    </row>
  </sheetData>
  <phoneticPr fontId="5" type="noConversion"/>
  <conditionalFormatting sqref="B7:C401 H7:I401">
    <cfRule type="expression" dxfId="9" priority="12">
      <formula>AND($A7&lt;&gt;"",B7="")</formula>
    </cfRule>
  </conditionalFormatting>
  <conditionalFormatting sqref="D7:D401">
    <cfRule type="expression" dxfId="8" priority="11">
      <formula>AND(A7&lt;&gt;"",D7="")</formula>
    </cfRule>
  </conditionalFormatting>
  <conditionalFormatting sqref="E7:F401">
    <cfRule type="expression" dxfId="7" priority="10">
      <formula>AND($D7="Yes",E7&lt;&gt;"")</formula>
    </cfRule>
  </conditionalFormatting>
  <conditionalFormatting sqref="G7:G401">
    <cfRule type="expression" dxfId="6" priority="9">
      <formula>AND(A7&lt;&gt;"",OR(AND(D7="Yes",G7=""),AND(D7="No",G7&lt;&gt;"")))</formula>
    </cfRule>
  </conditionalFormatting>
  <conditionalFormatting sqref="R7:R401">
    <cfRule type="expression" dxfId="5" priority="6">
      <formula>R7&lt;&gt;0</formula>
    </cfRule>
  </conditionalFormatting>
  <conditionalFormatting sqref="B2:C6 H2:I6">
    <cfRule type="expression" dxfId="4" priority="5">
      <formula>AND($A2&lt;&gt;"",B2="")</formula>
    </cfRule>
  </conditionalFormatting>
  <conditionalFormatting sqref="D2:D6">
    <cfRule type="expression" dxfId="3" priority="4">
      <formula>AND(A2&lt;&gt;"",D2="")</formula>
    </cfRule>
  </conditionalFormatting>
  <conditionalFormatting sqref="E2:F6">
    <cfRule type="expression" dxfId="2" priority="3">
      <formula>AND($D2="Yes",E2&lt;&gt;"")</formula>
    </cfRule>
  </conditionalFormatting>
  <conditionalFormatting sqref="G2:G6">
    <cfRule type="expression" dxfId="1" priority="2">
      <formula>AND(A2&lt;&gt;"",OR(AND(D2="Yes",G2=""),AND(D2="No",G2&lt;&gt;"")))</formula>
    </cfRule>
  </conditionalFormatting>
  <conditionalFormatting sqref="R2:R6">
    <cfRule type="expression" dxfId="0" priority="1">
      <formula>R2&lt;&gt;0</formula>
    </cfRule>
  </conditionalFormatting>
  <dataValidations count="2">
    <dataValidation type="list" showInputMessage="1" showErrorMessage="1" error="Select Yes if assorment or no if bulk" sqref="D2:D421" xr:uid="{6F93451B-99C1-4BD9-8A97-E1C6AE9348B0}">
      <formula1>"Yes,No"</formula1>
    </dataValidation>
    <dataValidation type="whole" showInputMessage="1" showErrorMessage="1" error="Please provide EAN number" sqref="H2:H421" xr:uid="{15B08880-C389-455B-9956-7376511F1136}">
      <formula1>1111111111111</formula1>
      <formula2>9999999999999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mport_CU_To_PackingList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71637F-F7B0-4531-B1C9-63576481A508}">
          <x14:formula1>
            <xm:f>'Company Data'!$A$1:$A$3</xm:f>
          </x14:formula1>
          <xm:sqref>V2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CB491-2D3D-4F64-8EC0-3A546358AE32}">
  <sheetPr codeName="Sheet9"/>
  <dimension ref="A1:U27"/>
  <sheetViews>
    <sheetView workbookViewId="0">
      <selection activeCell="H17" sqref="H17"/>
    </sheetView>
  </sheetViews>
  <sheetFormatPr defaultColWidth="9" defaultRowHeight="14.25"/>
  <cols>
    <col min="1" max="1" width="6.59765625" style="48" customWidth="1"/>
    <col min="2" max="2" width="24.06640625" style="48" customWidth="1"/>
    <col min="3" max="7" width="5.1328125" style="48" customWidth="1"/>
    <col min="8" max="9" width="6.1328125" style="48" customWidth="1"/>
    <col min="10" max="10" width="8.59765625" style="48" customWidth="1"/>
    <col min="11" max="11" width="6.1328125" style="48" customWidth="1"/>
    <col min="12" max="12" width="30.9296875" style="48" customWidth="1"/>
    <col min="13" max="14" width="7.59765625" style="48" customWidth="1"/>
    <col min="15" max="16" width="6.1328125" style="48" customWidth="1"/>
    <col min="17" max="17" width="7.59765625" style="48" customWidth="1"/>
    <col min="18" max="20" width="5.1328125" style="48" customWidth="1"/>
    <col min="21" max="21" width="8.59765625" style="48" customWidth="1"/>
    <col min="22" max="29" width="9" style="48" customWidth="1"/>
    <col min="30" max="16384" width="9" style="48"/>
  </cols>
  <sheetData>
    <row r="1" spans="1:21" ht="27" customHeight="1">
      <c r="A1" s="70" t="s">
        <v>66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</row>
    <row r="2" spans="1:21" ht="18.95" customHeight="1">
      <c r="A2" s="72" t="s">
        <v>67</v>
      </c>
      <c r="B2" s="73"/>
      <c r="C2" s="74" t="s">
        <v>50</v>
      </c>
      <c r="D2" s="73"/>
      <c r="E2" s="73"/>
      <c r="F2" s="73"/>
      <c r="G2" s="75" t="s">
        <v>68</v>
      </c>
      <c r="H2" s="73"/>
      <c r="I2" s="76" t="s">
        <v>49</v>
      </c>
      <c r="J2" s="73"/>
      <c r="K2" s="49"/>
      <c r="L2" s="49"/>
      <c r="M2" s="49"/>
      <c r="N2" s="49"/>
      <c r="O2" s="49"/>
      <c r="P2" s="50"/>
      <c r="Q2" s="51" t="s">
        <v>69</v>
      </c>
      <c r="R2" s="77" t="s">
        <v>70</v>
      </c>
      <c r="S2" s="73"/>
      <c r="T2" s="73"/>
      <c r="U2" s="73"/>
    </row>
    <row r="3" spans="1:21" ht="18.95" customHeight="1">
      <c r="A3" s="78" t="s">
        <v>71</v>
      </c>
      <c r="B3" s="80" t="s">
        <v>72</v>
      </c>
      <c r="C3" s="81"/>
      <c r="D3" s="81" t="s">
        <v>51</v>
      </c>
      <c r="E3" s="82" t="s">
        <v>53</v>
      </c>
      <c r="F3" s="82" t="s">
        <v>54</v>
      </c>
      <c r="G3" s="82"/>
      <c r="H3" s="85"/>
      <c r="I3" s="85" t="s">
        <v>73</v>
      </c>
      <c r="J3" s="86" t="s">
        <v>74</v>
      </c>
      <c r="K3" s="86" t="s">
        <v>75</v>
      </c>
      <c r="L3" s="92" t="s">
        <v>76</v>
      </c>
      <c r="M3" s="86" t="s">
        <v>77</v>
      </c>
      <c r="N3" s="87" t="s">
        <v>78</v>
      </c>
      <c r="O3" s="52" t="s">
        <v>79</v>
      </c>
      <c r="P3" s="53" t="s">
        <v>80</v>
      </c>
      <c r="Q3" s="53" t="s">
        <v>81</v>
      </c>
      <c r="R3" s="88" t="s">
        <v>82</v>
      </c>
      <c r="S3" s="89"/>
      <c r="T3" s="90"/>
      <c r="U3" s="53" t="s">
        <v>83</v>
      </c>
    </row>
    <row r="4" spans="1:21" ht="18.95" customHeight="1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93"/>
      <c r="M4" s="79"/>
      <c r="N4" s="79"/>
      <c r="O4" s="53" t="s">
        <v>84</v>
      </c>
      <c r="P4" s="53" t="s">
        <v>84</v>
      </c>
      <c r="Q4" s="53" t="s">
        <v>84</v>
      </c>
      <c r="R4" s="54" t="s">
        <v>85</v>
      </c>
      <c r="S4" s="54" t="s">
        <v>86</v>
      </c>
      <c r="T4" s="54" t="s">
        <v>87</v>
      </c>
      <c r="U4" s="54" t="s">
        <v>88</v>
      </c>
    </row>
    <row r="5" spans="1:21" ht="18.95" customHeight="1">
      <c r="A5" s="55" t="s">
        <v>89</v>
      </c>
      <c r="B5" s="55" t="s">
        <v>90</v>
      </c>
      <c r="C5" s="56"/>
      <c r="D5" s="56">
        <v>16</v>
      </c>
      <c r="E5" s="56"/>
      <c r="F5" s="56"/>
      <c r="G5" s="56"/>
      <c r="H5" s="56"/>
      <c r="I5" s="56"/>
      <c r="J5" s="56">
        <v>16</v>
      </c>
      <c r="K5" s="56">
        <v>6</v>
      </c>
      <c r="L5" s="59" t="s">
        <v>52</v>
      </c>
      <c r="M5" s="56"/>
      <c r="N5" s="57">
        <v>96</v>
      </c>
      <c r="O5" s="57">
        <v>5.4</v>
      </c>
      <c r="P5" s="57">
        <v>6.4</v>
      </c>
      <c r="Q5" s="57">
        <v>38.400000000000013</v>
      </c>
      <c r="R5" s="56">
        <v>60</v>
      </c>
      <c r="S5" s="56">
        <v>38</v>
      </c>
      <c r="T5" s="56">
        <v>35</v>
      </c>
      <c r="U5" s="58">
        <v>0.4788</v>
      </c>
    </row>
    <row r="6" spans="1:21" ht="18.95" customHeight="1">
      <c r="A6" s="55" t="s">
        <v>91</v>
      </c>
      <c r="B6" s="55" t="s">
        <v>90</v>
      </c>
      <c r="C6" s="56"/>
      <c r="D6" s="56"/>
      <c r="E6" s="56">
        <v>16</v>
      </c>
      <c r="F6" s="56"/>
      <c r="G6" s="56"/>
      <c r="H6" s="56"/>
      <c r="I6" s="56"/>
      <c r="J6" s="56">
        <v>16</v>
      </c>
      <c r="K6" s="56">
        <v>7</v>
      </c>
      <c r="L6" s="59" t="s">
        <v>52</v>
      </c>
      <c r="M6" s="56"/>
      <c r="N6" s="57">
        <v>112</v>
      </c>
      <c r="O6" s="57">
        <v>5.5</v>
      </c>
      <c r="P6" s="57">
        <v>6.5</v>
      </c>
      <c r="Q6" s="57">
        <v>45.5</v>
      </c>
      <c r="R6" s="56">
        <v>60</v>
      </c>
      <c r="S6" s="56">
        <v>38</v>
      </c>
      <c r="T6" s="56">
        <v>35</v>
      </c>
      <c r="U6" s="58">
        <v>0.55859999999999999</v>
      </c>
    </row>
    <row r="7" spans="1:21" ht="18.95" customHeight="1">
      <c r="A7" s="55" t="s">
        <v>92</v>
      </c>
      <c r="B7" s="55" t="s">
        <v>90</v>
      </c>
      <c r="C7" s="56"/>
      <c r="D7" s="56"/>
      <c r="E7" s="56"/>
      <c r="F7" s="56">
        <v>16</v>
      </c>
      <c r="G7" s="56"/>
      <c r="H7" s="56"/>
      <c r="I7" s="56"/>
      <c r="J7" s="56">
        <v>16</v>
      </c>
      <c r="K7" s="56">
        <v>4</v>
      </c>
      <c r="L7" s="59" t="s">
        <v>55</v>
      </c>
      <c r="M7" s="56"/>
      <c r="N7" s="57">
        <v>64</v>
      </c>
      <c r="O7" s="57">
        <v>5.6</v>
      </c>
      <c r="P7" s="57">
        <v>6.6</v>
      </c>
      <c r="Q7" s="57">
        <v>26.4</v>
      </c>
      <c r="R7" s="56">
        <v>60</v>
      </c>
      <c r="S7" s="56">
        <v>38</v>
      </c>
      <c r="T7" s="56">
        <v>35</v>
      </c>
      <c r="U7" s="58">
        <v>0.31919999999999998</v>
      </c>
    </row>
    <row r="8" spans="1:21" ht="18.95" customHeight="1">
      <c r="A8" s="55" t="s">
        <v>93</v>
      </c>
      <c r="B8" s="55" t="s">
        <v>90</v>
      </c>
      <c r="C8" s="56"/>
      <c r="D8" s="56">
        <v>13</v>
      </c>
      <c r="E8" s="56"/>
      <c r="F8" s="56"/>
      <c r="G8" s="56"/>
      <c r="H8" s="56"/>
      <c r="I8" s="56"/>
      <c r="J8" s="56">
        <v>13</v>
      </c>
      <c r="K8" s="56">
        <v>1</v>
      </c>
      <c r="L8" s="59" t="s">
        <v>52</v>
      </c>
      <c r="M8" s="56"/>
      <c r="N8" s="57">
        <v>13</v>
      </c>
      <c r="O8" s="57">
        <v>4.4000000000000004</v>
      </c>
      <c r="P8" s="57">
        <v>5.4</v>
      </c>
      <c r="Q8" s="57">
        <v>5.4</v>
      </c>
      <c r="R8" s="56">
        <v>60</v>
      </c>
      <c r="S8" s="56">
        <v>38</v>
      </c>
      <c r="T8" s="56">
        <v>35</v>
      </c>
      <c r="U8" s="58">
        <v>7.9799999999999996E-2</v>
      </c>
    </row>
    <row r="9" spans="1:21" ht="18.95" customHeight="1">
      <c r="A9" s="55" t="s">
        <v>94</v>
      </c>
      <c r="B9" s="55" t="s">
        <v>90</v>
      </c>
      <c r="C9" s="56"/>
      <c r="D9" s="56"/>
      <c r="E9" s="56">
        <v>5</v>
      </c>
      <c r="F9" s="56">
        <v>10</v>
      </c>
      <c r="G9" s="56"/>
      <c r="H9" s="56"/>
      <c r="I9" s="56"/>
      <c r="J9" s="56">
        <v>1000</v>
      </c>
      <c r="K9" s="56">
        <v>1</v>
      </c>
      <c r="L9" s="59" t="s">
        <v>56</v>
      </c>
      <c r="M9" s="56"/>
      <c r="N9" s="57">
        <v>15</v>
      </c>
      <c r="O9" s="57">
        <v>4.9000000000000004</v>
      </c>
      <c r="P9" s="57">
        <v>5.9</v>
      </c>
      <c r="Q9" s="57">
        <v>5.9</v>
      </c>
      <c r="R9" s="56">
        <v>60</v>
      </c>
      <c r="S9" s="56">
        <v>38</v>
      </c>
      <c r="T9" s="56">
        <v>35</v>
      </c>
      <c r="U9" s="58">
        <v>7.9799999999999996E-2</v>
      </c>
    </row>
    <row r="10" spans="1:21" ht="18.95" customHeight="1">
      <c r="A10" s="55" t="s">
        <v>95</v>
      </c>
      <c r="B10" s="55" t="s">
        <v>96</v>
      </c>
      <c r="C10" s="56"/>
      <c r="D10" s="56">
        <v>17</v>
      </c>
      <c r="E10" s="56"/>
      <c r="F10" s="56"/>
      <c r="G10" s="56"/>
      <c r="H10" s="56"/>
      <c r="I10" s="56"/>
      <c r="J10" s="56">
        <v>17</v>
      </c>
      <c r="K10" s="56">
        <v>2</v>
      </c>
      <c r="L10" s="59" t="s">
        <v>56</v>
      </c>
      <c r="M10" s="56"/>
      <c r="N10" s="57">
        <v>34</v>
      </c>
      <c r="O10" s="57">
        <v>5.7</v>
      </c>
      <c r="P10" s="57">
        <v>6.7</v>
      </c>
      <c r="Q10" s="57">
        <v>13.4</v>
      </c>
      <c r="R10" s="56">
        <v>60</v>
      </c>
      <c r="S10" s="56">
        <v>38</v>
      </c>
      <c r="T10" s="56">
        <v>35</v>
      </c>
      <c r="U10" s="58">
        <v>0.15959999999999999</v>
      </c>
    </row>
    <row r="11" spans="1:21" ht="18.95" customHeight="1">
      <c r="A11" s="55" t="s">
        <v>97</v>
      </c>
      <c r="B11" s="55" t="s">
        <v>96</v>
      </c>
      <c r="C11" s="56"/>
      <c r="D11" s="56">
        <v>16</v>
      </c>
      <c r="E11" s="56"/>
      <c r="F11" s="56"/>
      <c r="G11" s="56"/>
      <c r="H11" s="56"/>
      <c r="I11" s="56"/>
      <c r="J11" s="56">
        <v>16</v>
      </c>
      <c r="K11" s="56">
        <v>1</v>
      </c>
      <c r="L11" s="59" t="s">
        <v>56</v>
      </c>
      <c r="M11" s="56"/>
      <c r="N11" s="57">
        <v>16</v>
      </c>
      <c r="O11" s="57">
        <v>5.4</v>
      </c>
      <c r="P11" s="57">
        <v>6.4</v>
      </c>
      <c r="Q11" s="57">
        <v>6.4</v>
      </c>
      <c r="R11" s="56">
        <v>60</v>
      </c>
      <c r="S11" s="56">
        <v>38</v>
      </c>
      <c r="T11" s="56">
        <v>35</v>
      </c>
      <c r="U11" s="58">
        <v>7.9799999999999996E-2</v>
      </c>
    </row>
    <row r="12" spans="1:21" ht="18.95" customHeight="1">
      <c r="A12" s="55" t="s">
        <v>98</v>
      </c>
      <c r="B12" s="55" t="s">
        <v>96</v>
      </c>
      <c r="C12" s="56"/>
      <c r="D12" s="56"/>
      <c r="E12" s="56">
        <v>16</v>
      </c>
      <c r="F12" s="56"/>
      <c r="G12" s="56"/>
      <c r="H12" s="56"/>
      <c r="I12" s="56"/>
      <c r="J12" s="56">
        <v>16</v>
      </c>
      <c r="K12" s="56">
        <v>4</v>
      </c>
      <c r="L12" s="59" t="s">
        <v>57</v>
      </c>
      <c r="M12" s="56"/>
      <c r="N12" s="57">
        <v>64</v>
      </c>
      <c r="O12" s="57">
        <v>5.5</v>
      </c>
      <c r="P12" s="57">
        <v>6.5</v>
      </c>
      <c r="Q12" s="57">
        <v>26</v>
      </c>
      <c r="R12" s="56">
        <v>60</v>
      </c>
      <c r="S12" s="56">
        <v>38</v>
      </c>
      <c r="T12" s="56">
        <v>35</v>
      </c>
      <c r="U12" s="58">
        <v>0.31919999999999998</v>
      </c>
    </row>
    <row r="13" spans="1:21" ht="18.95" customHeight="1">
      <c r="A13" s="55" t="s">
        <v>99</v>
      </c>
      <c r="B13" s="55" t="s">
        <v>96</v>
      </c>
      <c r="C13" s="56"/>
      <c r="D13" s="56"/>
      <c r="E13" s="56"/>
      <c r="F13" s="56">
        <v>16</v>
      </c>
      <c r="G13" s="56"/>
      <c r="H13" s="56"/>
      <c r="I13" s="56"/>
      <c r="J13" s="56">
        <v>16</v>
      </c>
      <c r="K13" s="56">
        <v>5</v>
      </c>
      <c r="L13" s="59" t="s">
        <v>58</v>
      </c>
      <c r="M13" s="56"/>
      <c r="N13" s="57">
        <v>80</v>
      </c>
      <c r="O13" s="57">
        <v>5.6</v>
      </c>
      <c r="P13" s="57">
        <v>6.6</v>
      </c>
      <c r="Q13" s="57">
        <v>33</v>
      </c>
      <c r="R13" s="56">
        <v>60</v>
      </c>
      <c r="S13" s="56">
        <v>38</v>
      </c>
      <c r="T13" s="56">
        <v>35</v>
      </c>
      <c r="U13" s="58">
        <v>0.39900000000000002</v>
      </c>
    </row>
    <row r="14" spans="1:21" ht="18.95" customHeight="1">
      <c r="A14" s="55" t="s">
        <v>100</v>
      </c>
      <c r="B14" s="55" t="s">
        <v>96</v>
      </c>
      <c r="C14" s="56"/>
      <c r="D14" s="56"/>
      <c r="E14" s="56">
        <v>6</v>
      </c>
      <c r="F14" s="56">
        <v>10</v>
      </c>
      <c r="G14" s="56"/>
      <c r="H14" s="56"/>
      <c r="I14" s="56"/>
      <c r="J14" s="56">
        <v>1000</v>
      </c>
      <c r="K14" s="56">
        <v>1</v>
      </c>
      <c r="L14" s="59" t="s">
        <v>58</v>
      </c>
      <c r="M14" s="56"/>
      <c r="N14" s="57">
        <v>16</v>
      </c>
      <c r="O14" s="57">
        <v>5.6</v>
      </c>
      <c r="P14" s="57">
        <v>6.6</v>
      </c>
      <c r="Q14" s="57">
        <v>6.6</v>
      </c>
      <c r="R14" s="56">
        <v>60</v>
      </c>
      <c r="S14" s="56">
        <v>38</v>
      </c>
      <c r="T14" s="56">
        <v>35</v>
      </c>
      <c r="U14" s="58">
        <v>7.9799999999999996E-2</v>
      </c>
    </row>
    <row r="15" spans="1:21" ht="18.95" customHeight="1">
      <c r="A15" s="55"/>
      <c r="B15" s="55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7"/>
      <c r="O15" s="57"/>
      <c r="P15" s="57"/>
      <c r="Q15" s="57"/>
      <c r="R15" s="56"/>
      <c r="S15" s="56"/>
      <c r="T15" s="56"/>
      <c r="U15" s="58"/>
    </row>
    <row r="16" spans="1:21" ht="18.95" customHeight="1">
      <c r="A16" s="55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56"/>
      <c r="N16" s="57"/>
      <c r="O16" s="57"/>
      <c r="P16" s="57"/>
      <c r="Q16" s="57"/>
      <c r="R16" s="56"/>
      <c r="S16" s="56"/>
      <c r="T16" s="56"/>
      <c r="U16" s="58"/>
    </row>
    <row r="17" spans="1:21" ht="18.95" customHeight="1">
      <c r="A17" s="55"/>
      <c r="B17" s="60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7"/>
      <c r="O17" s="57"/>
      <c r="P17" s="57"/>
      <c r="Q17" s="57"/>
      <c r="R17" s="56"/>
      <c r="S17" s="56"/>
      <c r="T17" s="56"/>
      <c r="U17" s="58"/>
    </row>
    <row r="18" spans="1:21" ht="18.95" customHeight="1">
      <c r="A18" s="55"/>
      <c r="B18" s="60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7"/>
      <c r="O18" s="57"/>
      <c r="P18" s="57"/>
      <c r="Q18" s="57"/>
      <c r="R18" s="56"/>
      <c r="S18" s="56"/>
      <c r="T18" s="56"/>
      <c r="U18" s="58"/>
    </row>
    <row r="19" spans="1:21" ht="18.95" customHeight="1">
      <c r="A19" s="55"/>
      <c r="B19" s="60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7"/>
      <c r="O19" s="57"/>
      <c r="P19" s="57"/>
      <c r="Q19" s="57"/>
      <c r="R19" s="56"/>
      <c r="S19" s="56"/>
      <c r="T19" s="56"/>
      <c r="U19" s="58"/>
    </row>
    <row r="20" spans="1:21" ht="18.95" customHeight="1">
      <c r="A20" s="55"/>
      <c r="B20" s="60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O20" s="57"/>
      <c r="P20" s="57"/>
      <c r="Q20" s="57"/>
      <c r="R20" s="56"/>
      <c r="S20" s="56"/>
      <c r="T20" s="56"/>
      <c r="U20" s="58"/>
    </row>
    <row r="21" spans="1:21" ht="18.95" customHeight="1">
      <c r="A21" s="55"/>
      <c r="B21" s="60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7"/>
      <c r="O21" s="57"/>
      <c r="P21" s="57"/>
      <c r="Q21" s="57"/>
      <c r="R21" s="56"/>
      <c r="S21" s="56"/>
      <c r="T21" s="56"/>
      <c r="U21" s="58"/>
    </row>
    <row r="22" spans="1:21" ht="18.95" customHeight="1">
      <c r="A22" s="55"/>
      <c r="B22" s="60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7"/>
      <c r="O22" s="57"/>
      <c r="P22" s="57"/>
      <c r="Q22" s="57"/>
      <c r="R22" s="56"/>
      <c r="S22" s="56"/>
      <c r="T22" s="56"/>
      <c r="U22" s="58"/>
    </row>
    <row r="23" spans="1:21" ht="18.95" customHeight="1">
      <c r="A23" s="55"/>
      <c r="B23" s="60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7"/>
      <c r="O23" s="57"/>
      <c r="P23" s="57"/>
      <c r="Q23" s="57"/>
      <c r="R23" s="56"/>
      <c r="S23" s="56"/>
      <c r="T23" s="56"/>
      <c r="U23" s="58"/>
    </row>
    <row r="24" spans="1:21" ht="18.95" customHeight="1">
      <c r="A24" s="52"/>
      <c r="B24" s="60"/>
      <c r="C24" s="56"/>
      <c r="D24" s="56"/>
      <c r="E24" s="56"/>
      <c r="F24" s="56"/>
      <c r="G24" s="56"/>
      <c r="H24" s="56"/>
      <c r="I24" s="52"/>
      <c r="J24" s="56">
        <v>0</v>
      </c>
      <c r="K24" s="53"/>
      <c r="L24" s="53"/>
      <c r="M24" s="53"/>
      <c r="N24" s="57">
        <v>0</v>
      </c>
      <c r="O24" s="58"/>
      <c r="P24" s="61"/>
      <c r="Q24" s="57"/>
      <c r="R24" s="56"/>
      <c r="S24" s="56"/>
      <c r="T24" s="56"/>
      <c r="U24" s="58"/>
    </row>
    <row r="25" spans="1:21" ht="18.95" customHeight="1">
      <c r="A25" s="55" t="s">
        <v>101</v>
      </c>
      <c r="B25" s="53"/>
      <c r="C25" s="55"/>
      <c r="D25" s="55"/>
      <c r="E25" s="55"/>
      <c r="F25" s="55"/>
      <c r="G25" s="55"/>
      <c r="H25" s="55"/>
      <c r="I25" s="55"/>
      <c r="J25" s="55"/>
      <c r="K25" s="55">
        <v>32</v>
      </c>
      <c r="L25" s="55"/>
      <c r="M25" s="55"/>
      <c r="N25" s="62">
        <v>495</v>
      </c>
      <c r="O25" s="62"/>
      <c r="P25" s="62"/>
      <c r="Q25" s="62">
        <v>207</v>
      </c>
      <c r="R25" s="56"/>
      <c r="S25" s="56"/>
      <c r="T25" s="56"/>
      <c r="U25" s="58">
        <v>2.5535999999999999</v>
      </c>
    </row>
    <row r="26" spans="1:21" ht="18.95" customHeight="1">
      <c r="A26" s="63"/>
      <c r="B26" s="64" t="s">
        <v>102</v>
      </c>
      <c r="C26" s="83">
        <v>32</v>
      </c>
      <c r="D26" s="71"/>
      <c r="E26" s="63"/>
      <c r="F26" s="65" t="s">
        <v>81</v>
      </c>
      <c r="G26" s="91">
        <v>207</v>
      </c>
      <c r="H26" s="71"/>
      <c r="I26" s="66" t="s">
        <v>84</v>
      </c>
      <c r="P26" s="63"/>
      <c r="Q26" s="63"/>
    </row>
    <row r="27" spans="1:21" ht="18.95" customHeight="1">
      <c r="A27" s="63"/>
      <c r="B27" s="64" t="s">
        <v>78</v>
      </c>
      <c r="C27" s="83">
        <v>495</v>
      </c>
      <c r="D27" s="71"/>
      <c r="E27" s="63"/>
      <c r="F27" s="65" t="s">
        <v>83</v>
      </c>
      <c r="G27" s="84">
        <v>2.5535999999999999</v>
      </c>
      <c r="H27" s="71"/>
      <c r="I27" s="66" t="s">
        <v>88</v>
      </c>
      <c r="P27" s="63"/>
      <c r="Q27" s="66"/>
    </row>
  </sheetData>
  <mergeCells count="25">
    <mergeCell ref="M3:M4"/>
    <mergeCell ref="N3:N4"/>
    <mergeCell ref="R3:T3"/>
    <mergeCell ref="C26:D26"/>
    <mergeCell ref="G26:H26"/>
    <mergeCell ref="J3:J4"/>
    <mergeCell ref="K3:K4"/>
    <mergeCell ref="L3:L4"/>
    <mergeCell ref="C27:D27"/>
    <mergeCell ref="G27:H27"/>
    <mergeCell ref="G3:G4"/>
    <mergeCell ref="H3:H4"/>
    <mergeCell ref="I3:I4"/>
    <mergeCell ref="F3:F4"/>
    <mergeCell ref="A3:A4"/>
    <mergeCell ref="B3:B4"/>
    <mergeCell ref="C3:C4"/>
    <mergeCell ref="D3:D4"/>
    <mergeCell ref="E3:E4"/>
    <mergeCell ref="A1:U1"/>
    <mergeCell ref="A2:B2"/>
    <mergeCell ref="C2:F2"/>
    <mergeCell ref="G2:H2"/>
    <mergeCell ref="I2:J2"/>
    <mergeCell ref="R2:U2"/>
  </mergeCells>
  <pageMargins left="0.31" right="0.3" top="0.33" bottom="0.3" header="0.31496062992126" footer="0.31496062992126"/>
  <pageSetup paperSize="9" scale="75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82572-8DAC-4E3B-8BFF-B1BD10904590}">
  <sheetPr codeName="Sheet2"/>
  <dimension ref="A1:E8"/>
  <sheetViews>
    <sheetView zoomScaleNormal="100" workbookViewId="0">
      <selection sqref="A1:E8"/>
    </sheetView>
  </sheetViews>
  <sheetFormatPr defaultColWidth="9.1328125" defaultRowHeight="18"/>
  <cols>
    <col min="1" max="1" width="16.33203125" style="1" customWidth="1"/>
    <col min="2" max="2" width="21.6640625" style="1" customWidth="1"/>
    <col min="3" max="3" width="1.46484375" style="1" customWidth="1"/>
    <col min="4" max="4" width="16.33203125" style="1" customWidth="1"/>
    <col min="5" max="5" width="26.6640625" style="1" customWidth="1"/>
    <col min="6" max="16384" width="9.1328125" style="1"/>
  </cols>
  <sheetData>
    <row r="1" spans="1:5" ht="43.25" customHeight="1" thickBot="1">
      <c r="A1" s="13" t="e" vm="1">
        <v>#VALUE!</v>
      </c>
      <c r="B1" s="10"/>
      <c r="C1" s="14"/>
      <c r="D1" s="11" t="str">
        <f>'Company Data'!$B$2</f>
        <v>DK Company Vejle A/S
Edisonvej 4
7100 Vejle
Denmark</v>
      </c>
      <c r="E1" s="12"/>
    </row>
    <row r="2" spans="1:5">
      <c r="A2" s="15" t="s">
        <v>1</v>
      </c>
      <c r="B2" s="16"/>
      <c r="C2" s="6"/>
      <c r="D2" s="2" t="s">
        <v>2</v>
      </c>
      <c r="E2" s="17"/>
    </row>
    <row r="3" spans="1:5">
      <c r="A3" s="15" t="s">
        <v>3</v>
      </c>
      <c r="B3" s="16"/>
      <c r="C3" s="7"/>
      <c r="D3" s="2" t="s">
        <v>4</v>
      </c>
      <c r="E3" s="17"/>
    </row>
    <row r="4" spans="1:5">
      <c r="A4" s="15" t="s">
        <v>5</v>
      </c>
      <c r="B4" s="16"/>
      <c r="C4" s="7"/>
      <c r="D4" s="2" t="s">
        <v>6</v>
      </c>
      <c r="E4" s="17"/>
    </row>
    <row r="5" spans="1:5">
      <c r="A5" s="15" t="s">
        <v>7</v>
      </c>
      <c r="B5" s="16"/>
      <c r="C5" s="7"/>
      <c r="D5" s="2" t="s">
        <v>8</v>
      </c>
      <c r="E5" s="18"/>
    </row>
    <row r="6" spans="1:5" ht="18.399999999999999" thickBot="1">
      <c r="A6" s="15" t="s">
        <v>9</v>
      </c>
      <c r="B6" s="19"/>
      <c r="C6" s="8"/>
      <c r="D6" s="2" t="s">
        <v>10</v>
      </c>
      <c r="E6" s="18"/>
    </row>
    <row r="7" spans="1:5" ht="50.25" thickBot="1">
      <c r="A7" s="94" t="s">
        <v>30</v>
      </c>
      <c r="B7" s="95"/>
      <c r="C7" s="95"/>
      <c r="D7" s="95"/>
      <c r="E7" s="96"/>
    </row>
    <row r="8" spans="1:5" ht="4.25" customHeight="1"/>
  </sheetData>
  <mergeCells count="1">
    <mergeCell ref="A7:E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FD36-2A8C-4C38-B03A-FDF3C4FBACF9}">
  <sheetPr codeName="Ark2"/>
  <dimension ref="A1:M14"/>
  <sheetViews>
    <sheetView zoomScaleNormal="100" workbookViewId="0">
      <selection activeCell="L16" sqref="L16"/>
    </sheetView>
  </sheetViews>
  <sheetFormatPr defaultColWidth="9.1328125" defaultRowHeight="18"/>
  <cols>
    <col min="1" max="1" width="0.46484375" style="1" customWidth="1"/>
    <col min="2" max="2" width="12" style="1" customWidth="1"/>
    <col min="3" max="3" width="1.33203125" style="1" customWidth="1"/>
    <col min="4" max="4" width="9.1328125" style="1" customWidth="1"/>
    <col min="5" max="5" width="1.1328125" style="1" customWidth="1"/>
    <col min="6" max="6" width="12.33203125" style="1" customWidth="1"/>
    <col min="7" max="7" width="1.33203125" style="1" hidden="1" customWidth="1"/>
    <col min="8" max="8" width="16.6640625" style="1" customWidth="1"/>
    <col min="9" max="9" width="1.33203125" style="1" customWidth="1"/>
    <col min="10" max="10" width="5.33203125" style="1" customWidth="1"/>
    <col min="11" max="11" width="1.1328125" style="1" customWidth="1"/>
    <col min="12" max="12" width="25.53125" style="1" customWidth="1"/>
    <col min="13" max="13" width="1" style="1" customWidth="1"/>
    <col min="14" max="16384" width="9.1328125" style="1"/>
  </cols>
  <sheetData>
    <row r="1" spans="1:13" ht="2.25" customHeight="1" thickBot="1">
      <c r="A1" s="28"/>
      <c r="B1" s="104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29"/>
    </row>
    <row r="2" spans="1:13" ht="2.25" customHeight="1">
      <c r="A2" s="28"/>
      <c r="B2" s="10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29"/>
    </row>
    <row r="3" spans="1:13">
      <c r="A3" s="30"/>
      <c r="B3" s="100" t="e" vm="1">
        <v>#VALUE!</v>
      </c>
      <c r="C3" s="100"/>
      <c r="D3" s="100"/>
      <c r="E3" s="100"/>
      <c r="F3" s="100"/>
      <c r="H3" s="106" t="s">
        <v>0</v>
      </c>
      <c r="I3" s="107"/>
      <c r="J3" s="107"/>
      <c r="K3" s="107"/>
      <c r="L3" s="107"/>
      <c r="M3" s="31"/>
    </row>
    <row r="4" spans="1:13" ht="35.25" customHeight="1">
      <c r="A4" s="30"/>
      <c r="B4" s="100"/>
      <c r="C4" s="100"/>
      <c r="D4" s="100"/>
      <c r="E4" s="100"/>
      <c r="F4" s="100"/>
      <c r="H4" s="107"/>
      <c r="I4" s="107"/>
      <c r="J4" s="107"/>
      <c r="K4" s="107"/>
      <c r="L4" s="107"/>
      <c r="M4" s="31"/>
    </row>
    <row r="5" spans="1:13" ht="6.75" customHeight="1">
      <c r="A5" s="3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31"/>
    </row>
    <row r="6" spans="1:13">
      <c r="A6" s="30"/>
      <c r="B6" s="32" t="s">
        <v>37</v>
      </c>
      <c r="C6" s="98"/>
      <c r="D6" s="98"/>
      <c r="E6" s="98"/>
      <c r="F6" s="98"/>
      <c r="H6" s="32" t="s">
        <v>8</v>
      </c>
      <c r="I6" s="97"/>
      <c r="J6" s="97"/>
      <c r="K6" s="97"/>
      <c r="L6" s="97"/>
      <c r="M6" s="31"/>
    </row>
    <row r="7" spans="1:13">
      <c r="A7" s="30"/>
      <c r="B7" s="32" t="s">
        <v>39</v>
      </c>
      <c r="C7" s="97"/>
      <c r="D7" s="97"/>
      <c r="E7" s="97"/>
      <c r="F7" s="97"/>
      <c r="H7" s="32" t="s">
        <v>10</v>
      </c>
      <c r="I7" s="98"/>
      <c r="J7" s="99"/>
      <c r="K7" s="99"/>
      <c r="L7" s="99"/>
      <c r="M7" s="31"/>
    </row>
    <row r="8" spans="1:13" ht="7.5" customHeight="1">
      <c r="A8" s="3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31"/>
    </row>
    <row r="9" spans="1:13">
      <c r="A9" s="30"/>
      <c r="B9" s="33" t="s">
        <v>40</v>
      </c>
      <c r="C9" s="101"/>
      <c r="D9" s="33" t="s">
        <v>41</v>
      </c>
      <c r="E9" s="101"/>
      <c r="F9" s="33" t="s">
        <v>42</v>
      </c>
      <c r="G9" s="102"/>
      <c r="H9" s="33" t="s">
        <v>43</v>
      </c>
      <c r="I9" s="103"/>
      <c r="J9" s="33" t="s">
        <v>44</v>
      </c>
      <c r="K9" s="100"/>
      <c r="L9" s="33" t="s">
        <v>45</v>
      </c>
      <c r="M9" s="31"/>
    </row>
    <row r="10" spans="1:13" ht="25.9">
      <c r="A10" s="30"/>
      <c r="B10" s="35"/>
      <c r="C10" s="101"/>
      <c r="D10" s="34" t="s">
        <v>48</v>
      </c>
      <c r="E10" s="101"/>
      <c r="F10" s="34"/>
      <c r="G10" s="102"/>
      <c r="H10" s="36"/>
      <c r="I10" s="103"/>
      <c r="J10" s="36"/>
      <c r="K10" s="100"/>
      <c r="L10" s="37" t="str">
        <f>"*"&amp;H10&amp;J10&amp;"*"</f>
        <v>**</v>
      </c>
      <c r="M10" s="31"/>
    </row>
    <row r="11" spans="1:13" ht="25.9">
      <c r="A11" s="30"/>
      <c r="B11" s="35"/>
      <c r="C11" s="101"/>
      <c r="D11" s="46" t="s">
        <v>48</v>
      </c>
      <c r="E11" s="101"/>
      <c r="F11" s="34"/>
      <c r="G11" s="102"/>
      <c r="H11" s="36"/>
      <c r="I11" s="103"/>
      <c r="J11" s="36"/>
      <c r="K11" s="100"/>
      <c r="L11" s="37" t="str">
        <f t="shared" ref="L11:L13" si="0">"*"&amp;H11&amp;J11&amp;"*"</f>
        <v>**</v>
      </c>
      <c r="M11" s="31"/>
    </row>
    <row r="12" spans="1:13" ht="25.9">
      <c r="A12" s="30"/>
      <c r="B12" s="35"/>
      <c r="C12" s="101"/>
      <c r="D12" s="46" t="s">
        <v>48</v>
      </c>
      <c r="E12" s="101"/>
      <c r="F12" s="34"/>
      <c r="G12" s="102"/>
      <c r="H12" s="36"/>
      <c r="I12" s="103"/>
      <c r="J12" s="36"/>
      <c r="K12" s="100"/>
      <c r="L12" s="37" t="str">
        <f t="shared" si="0"/>
        <v>**</v>
      </c>
      <c r="M12" s="31"/>
    </row>
    <row r="13" spans="1:13" ht="25.9">
      <c r="A13" s="30"/>
      <c r="B13" s="35"/>
      <c r="C13" s="101"/>
      <c r="D13" s="46" t="s">
        <v>48</v>
      </c>
      <c r="E13" s="101"/>
      <c r="F13" s="34"/>
      <c r="G13" s="102"/>
      <c r="H13" s="36"/>
      <c r="I13" s="103"/>
      <c r="J13" s="36"/>
      <c r="K13" s="100"/>
      <c r="L13" s="37" t="str">
        <f t="shared" si="0"/>
        <v>**</v>
      </c>
      <c r="M13" s="31"/>
    </row>
    <row r="14" spans="1:13" ht="3" customHeight="1" thickBot="1">
      <c r="A14" s="38"/>
      <c r="B14" s="39"/>
      <c r="C14" s="40"/>
      <c r="D14" s="40"/>
      <c r="E14" s="40"/>
      <c r="F14" s="40"/>
      <c r="G14" s="40"/>
      <c r="H14" s="41"/>
      <c r="I14" s="42"/>
      <c r="J14" s="41"/>
      <c r="K14" s="40"/>
      <c r="L14" s="43"/>
      <c r="M14" s="44"/>
    </row>
  </sheetData>
  <mergeCells count="15">
    <mergeCell ref="C6:F6"/>
    <mergeCell ref="I6:L6"/>
    <mergeCell ref="B1:L1"/>
    <mergeCell ref="B2:L2"/>
    <mergeCell ref="B3:F4"/>
    <mergeCell ref="H3:L4"/>
    <mergeCell ref="B5:L5"/>
    <mergeCell ref="C7:F7"/>
    <mergeCell ref="I7:L7"/>
    <mergeCell ref="B8:L8"/>
    <mergeCell ref="C9:C13"/>
    <mergeCell ref="E9:E13"/>
    <mergeCell ref="G9:G13"/>
    <mergeCell ref="I9:I13"/>
    <mergeCell ref="K9:K1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8381F-0517-4B7B-905D-6E44CCD64B4D}">
  <sheetPr codeName="Sheet5"/>
  <dimension ref="A1:E256"/>
  <sheetViews>
    <sheetView topLeftCell="A241" zoomScale="85" zoomScaleNormal="85" workbookViewId="0">
      <selection activeCell="A249" sqref="A249:E256"/>
    </sheetView>
  </sheetViews>
  <sheetFormatPr defaultRowHeight="14.25"/>
  <cols>
    <col min="1" max="1" width="17.3984375" customWidth="1"/>
    <col min="2" max="2" width="23.1328125" customWidth="1"/>
    <col min="3" max="3" width="1.3984375" customWidth="1"/>
    <col min="4" max="4" width="17.3984375" customWidth="1"/>
    <col min="5" max="5" width="28.46484375" customWidth="1"/>
  </cols>
  <sheetData>
    <row r="1" spans="1:5" ht="43.7" customHeight="1" thickBot="1">
      <c r="A1" s="13" t="e" vm="1">
        <v>#VALUE!</v>
      </c>
      <c r="B1" s="10"/>
      <c r="C1" s="14"/>
      <c r="D1" s="11" t="str">
        <f>'Company Data'!$B$2</f>
        <v>DK Company Vejle A/S
Edisonvej 4
7100 Vejle
Denmark</v>
      </c>
      <c r="E1" s="12"/>
    </row>
    <row r="2" spans="1:5" ht="18">
      <c r="A2" s="15" t="s">
        <v>1</v>
      </c>
      <c r="B2" s="16" t="s">
        <v>49</v>
      </c>
      <c r="C2" s="6"/>
      <c r="D2" s="2" t="s">
        <v>2</v>
      </c>
      <c r="E2" s="17">
        <v>16</v>
      </c>
    </row>
    <row r="3" spans="1:5" ht="18">
      <c r="A3" s="15" t="s">
        <v>3</v>
      </c>
      <c r="B3" s="16">
        <v>50109763</v>
      </c>
      <c r="C3" s="7"/>
      <c r="D3" s="2" t="s">
        <v>4</v>
      </c>
      <c r="E3" s="17" t="s">
        <v>51</v>
      </c>
    </row>
    <row r="4" spans="1:5" ht="18">
      <c r="A4" s="15" t="s">
        <v>5</v>
      </c>
      <c r="B4" s="16">
        <v>108580</v>
      </c>
      <c r="C4" s="7"/>
      <c r="D4" s="2" t="s">
        <v>6</v>
      </c>
      <c r="E4" s="17" t="s">
        <v>48</v>
      </c>
    </row>
    <row r="5" spans="1:5" ht="18">
      <c r="A5" s="15" t="s">
        <v>7</v>
      </c>
      <c r="B5" s="16" t="s">
        <v>48</v>
      </c>
      <c r="C5" s="7"/>
      <c r="D5" s="2" t="s">
        <v>8</v>
      </c>
      <c r="E5" s="18">
        <v>1</v>
      </c>
    </row>
    <row r="6" spans="1:5" ht="18.399999999999999" thickBot="1">
      <c r="A6" s="15" t="s">
        <v>9</v>
      </c>
      <c r="B6" s="19">
        <v>5715576671756</v>
      </c>
      <c r="C6" s="8"/>
      <c r="D6" s="2" t="s">
        <v>10</v>
      </c>
      <c r="E6" s="18">
        <v>32</v>
      </c>
    </row>
    <row r="7" spans="1:5" ht="50.75" customHeight="1" thickBot="1">
      <c r="A7" s="94" t="s">
        <v>59</v>
      </c>
      <c r="B7" s="95"/>
      <c r="C7" s="95"/>
      <c r="D7" s="95"/>
      <c r="E7" s="96"/>
    </row>
    <row r="8" spans="1:5" ht="4.7" customHeight="1" thickBot="1">
      <c r="A8" s="69"/>
      <c r="B8" s="69"/>
      <c r="C8" s="69"/>
      <c r="D8" s="69"/>
      <c r="E8" s="69"/>
    </row>
    <row r="9" spans="1:5" ht="43.7" customHeight="1" thickBot="1">
      <c r="A9" s="13" t="e" vm="1">
        <v>#VALUE!</v>
      </c>
      <c r="B9" s="10"/>
      <c r="C9" s="14"/>
      <c r="D9" s="11" t="str">
        <f>'Company Data'!$B$2</f>
        <v>DK Company Vejle A/S
Edisonvej 4
7100 Vejle
Denmark</v>
      </c>
      <c r="E9" s="12"/>
    </row>
    <row r="10" spans="1:5" ht="18">
      <c r="A10" s="15" t="s">
        <v>1</v>
      </c>
      <c r="B10" s="16" t="s">
        <v>49</v>
      </c>
      <c r="C10" s="6"/>
      <c r="D10" s="2" t="s">
        <v>2</v>
      </c>
      <c r="E10" s="17">
        <v>16</v>
      </c>
    </row>
    <row r="11" spans="1:5" ht="18">
      <c r="A11" s="15" t="s">
        <v>3</v>
      </c>
      <c r="B11" s="16">
        <v>50109763</v>
      </c>
      <c r="C11" s="7"/>
      <c r="D11" s="2" t="s">
        <v>4</v>
      </c>
      <c r="E11" s="17" t="s">
        <v>51</v>
      </c>
    </row>
    <row r="12" spans="1:5" ht="18">
      <c r="A12" s="15" t="s">
        <v>5</v>
      </c>
      <c r="B12" s="16">
        <v>108580</v>
      </c>
      <c r="C12" s="7"/>
      <c r="D12" s="2" t="s">
        <v>6</v>
      </c>
      <c r="E12" s="17" t="s">
        <v>48</v>
      </c>
    </row>
    <row r="13" spans="1:5" ht="18">
      <c r="A13" s="15" t="s">
        <v>7</v>
      </c>
      <c r="B13" s="16" t="s">
        <v>48</v>
      </c>
      <c r="C13" s="7"/>
      <c r="D13" s="2" t="s">
        <v>8</v>
      </c>
      <c r="E13" s="18">
        <v>2</v>
      </c>
    </row>
    <row r="14" spans="1:5" ht="18.399999999999999" thickBot="1">
      <c r="A14" s="15" t="s">
        <v>9</v>
      </c>
      <c r="B14" s="19">
        <v>5715576671756</v>
      </c>
      <c r="C14" s="8"/>
      <c r="D14" s="2" t="s">
        <v>10</v>
      </c>
      <c r="E14" s="18">
        <v>32</v>
      </c>
    </row>
    <row r="15" spans="1:5" ht="50.75" customHeight="1" thickBot="1">
      <c r="A15" s="94" t="s">
        <v>59</v>
      </c>
      <c r="B15" s="95"/>
      <c r="C15" s="95"/>
      <c r="D15" s="95"/>
      <c r="E15" s="96"/>
    </row>
    <row r="16" spans="1:5" ht="4.7" customHeight="1" thickBot="1">
      <c r="A16" s="69"/>
      <c r="B16" s="69"/>
      <c r="C16" s="69"/>
      <c r="D16" s="69"/>
      <c r="E16" s="69"/>
    </row>
    <row r="17" spans="1:5" ht="43.7" customHeight="1" thickBot="1">
      <c r="A17" s="13" t="e" vm="1">
        <v>#VALUE!</v>
      </c>
      <c r="B17" s="10"/>
      <c r="C17" s="14"/>
      <c r="D17" s="11" t="str">
        <f>'Company Data'!$B$2</f>
        <v>DK Company Vejle A/S
Edisonvej 4
7100 Vejle
Denmark</v>
      </c>
      <c r="E17" s="12"/>
    </row>
    <row r="18" spans="1:5" ht="18">
      <c r="A18" s="15" t="s">
        <v>1</v>
      </c>
      <c r="B18" s="16" t="s">
        <v>49</v>
      </c>
      <c r="C18" s="6"/>
      <c r="D18" s="2" t="s">
        <v>2</v>
      </c>
      <c r="E18" s="17">
        <v>16</v>
      </c>
    </row>
    <row r="19" spans="1:5" ht="18">
      <c r="A19" s="15" t="s">
        <v>3</v>
      </c>
      <c r="B19" s="16">
        <v>50109763</v>
      </c>
      <c r="C19" s="7"/>
      <c r="D19" s="2" t="s">
        <v>4</v>
      </c>
      <c r="E19" s="17" t="s">
        <v>51</v>
      </c>
    </row>
    <row r="20" spans="1:5" ht="18">
      <c r="A20" s="15" t="s">
        <v>5</v>
      </c>
      <c r="B20" s="16">
        <v>108580</v>
      </c>
      <c r="C20" s="7"/>
      <c r="D20" s="2" t="s">
        <v>6</v>
      </c>
      <c r="E20" s="17" t="s">
        <v>48</v>
      </c>
    </row>
    <row r="21" spans="1:5" ht="18">
      <c r="A21" s="15" t="s">
        <v>7</v>
      </c>
      <c r="B21" s="16" t="s">
        <v>48</v>
      </c>
      <c r="C21" s="7"/>
      <c r="D21" s="2" t="s">
        <v>8</v>
      </c>
      <c r="E21" s="18">
        <v>3</v>
      </c>
    </row>
    <row r="22" spans="1:5" ht="18.399999999999999" thickBot="1">
      <c r="A22" s="15" t="s">
        <v>9</v>
      </c>
      <c r="B22" s="19">
        <v>5715576671756</v>
      </c>
      <c r="C22" s="8"/>
      <c r="D22" s="2" t="s">
        <v>10</v>
      </c>
      <c r="E22" s="18">
        <v>32</v>
      </c>
    </row>
    <row r="23" spans="1:5" ht="50.75" customHeight="1" thickBot="1">
      <c r="A23" s="94" t="s">
        <v>59</v>
      </c>
      <c r="B23" s="95"/>
      <c r="C23" s="95"/>
      <c r="D23" s="95"/>
      <c r="E23" s="96"/>
    </row>
    <row r="24" spans="1:5" ht="4.7" customHeight="1" thickBot="1">
      <c r="A24" s="69"/>
      <c r="B24" s="69"/>
      <c r="C24" s="69"/>
      <c r="D24" s="69"/>
      <c r="E24" s="69"/>
    </row>
    <row r="25" spans="1:5" ht="43.7" customHeight="1" thickBot="1">
      <c r="A25" s="13" t="e" vm="1">
        <v>#VALUE!</v>
      </c>
      <c r="B25" s="10"/>
      <c r="C25" s="14"/>
      <c r="D25" s="11" t="str">
        <f>'Company Data'!$B$2</f>
        <v>DK Company Vejle A/S
Edisonvej 4
7100 Vejle
Denmark</v>
      </c>
      <c r="E25" s="12"/>
    </row>
    <row r="26" spans="1:5" ht="18">
      <c r="A26" s="15" t="s">
        <v>1</v>
      </c>
      <c r="B26" s="16" t="s">
        <v>49</v>
      </c>
      <c r="C26" s="6"/>
      <c r="D26" s="2" t="s">
        <v>2</v>
      </c>
      <c r="E26" s="17">
        <v>16</v>
      </c>
    </row>
    <row r="27" spans="1:5" ht="18">
      <c r="A27" s="15" t="s">
        <v>3</v>
      </c>
      <c r="B27" s="16">
        <v>50109763</v>
      </c>
      <c r="C27" s="7"/>
      <c r="D27" s="2" t="s">
        <v>4</v>
      </c>
      <c r="E27" s="17" t="s">
        <v>51</v>
      </c>
    </row>
    <row r="28" spans="1:5" ht="18">
      <c r="A28" s="15" t="s">
        <v>5</v>
      </c>
      <c r="B28" s="16">
        <v>108580</v>
      </c>
      <c r="C28" s="7"/>
      <c r="D28" s="2" t="s">
        <v>6</v>
      </c>
      <c r="E28" s="17" t="s">
        <v>48</v>
      </c>
    </row>
    <row r="29" spans="1:5" ht="18">
      <c r="A29" s="15" t="s">
        <v>7</v>
      </c>
      <c r="B29" s="16" t="s">
        <v>48</v>
      </c>
      <c r="C29" s="7"/>
      <c r="D29" s="2" t="s">
        <v>8</v>
      </c>
      <c r="E29" s="18">
        <v>4</v>
      </c>
    </row>
    <row r="30" spans="1:5" ht="18.399999999999999" thickBot="1">
      <c r="A30" s="15" t="s">
        <v>9</v>
      </c>
      <c r="B30" s="19">
        <v>5715576671756</v>
      </c>
      <c r="C30" s="8"/>
      <c r="D30" s="2" t="s">
        <v>10</v>
      </c>
      <c r="E30" s="18">
        <v>32</v>
      </c>
    </row>
    <row r="31" spans="1:5" ht="50.75" customHeight="1" thickBot="1">
      <c r="A31" s="94" t="s">
        <v>59</v>
      </c>
      <c r="B31" s="95"/>
      <c r="C31" s="95"/>
      <c r="D31" s="95"/>
      <c r="E31" s="96"/>
    </row>
    <row r="32" spans="1:5" ht="4.7" customHeight="1" thickBot="1">
      <c r="A32" s="69"/>
      <c r="B32" s="69"/>
      <c r="C32" s="69"/>
      <c r="D32" s="69"/>
      <c r="E32" s="69"/>
    </row>
    <row r="33" spans="1:5" ht="43.7" customHeight="1" thickBot="1">
      <c r="A33" s="13" t="e" vm="1">
        <v>#VALUE!</v>
      </c>
      <c r="B33" s="10"/>
      <c r="C33" s="14"/>
      <c r="D33" s="11" t="str">
        <f>'Company Data'!$B$2</f>
        <v>DK Company Vejle A/S
Edisonvej 4
7100 Vejle
Denmark</v>
      </c>
      <c r="E33" s="12"/>
    </row>
    <row r="34" spans="1:5" ht="18">
      <c r="A34" s="15" t="s">
        <v>1</v>
      </c>
      <c r="B34" s="16" t="s">
        <v>49</v>
      </c>
      <c r="C34" s="6"/>
      <c r="D34" s="2" t="s">
        <v>2</v>
      </c>
      <c r="E34" s="17">
        <v>16</v>
      </c>
    </row>
    <row r="35" spans="1:5" ht="18">
      <c r="A35" s="15" t="s">
        <v>3</v>
      </c>
      <c r="B35" s="16">
        <v>50109763</v>
      </c>
      <c r="C35" s="7"/>
      <c r="D35" s="2" t="s">
        <v>4</v>
      </c>
      <c r="E35" s="17" t="s">
        <v>51</v>
      </c>
    </row>
    <row r="36" spans="1:5" ht="18">
      <c r="A36" s="15" t="s">
        <v>5</v>
      </c>
      <c r="B36" s="16">
        <v>108580</v>
      </c>
      <c r="C36" s="7"/>
      <c r="D36" s="2" t="s">
        <v>6</v>
      </c>
      <c r="E36" s="17" t="s">
        <v>48</v>
      </c>
    </row>
    <row r="37" spans="1:5" ht="18">
      <c r="A37" s="15" t="s">
        <v>7</v>
      </c>
      <c r="B37" s="16" t="s">
        <v>48</v>
      </c>
      <c r="C37" s="7"/>
      <c r="D37" s="2" t="s">
        <v>8</v>
      </c>
      <c r="E37" s="18">
        <v>5</v>
      </c>
    </row>
    <row r="38" spans="1:5" ht="18.399999999999999" thickBot="1">
      <c r="A38" s="15" t="s">
        <v>9</v>
      </c>
      <c r="B38" s="19">
        <v>5715576671756</v>
      </c>
      <c r="C38" s="8"/>
      <c r="D38" s="2" t="s">
        <v>10</v>
      </c>
      <c r="E38" s="18">
        <v>32</v>
      </c>
    </row>
    <row r="39" spans="1:5" ht="50.75" customHeight="1" thickBot="1">
      <c r="A39" s="94" t="s">
        <v>59</v>
      </c>
      <c r="B39" s="95"/>
      <c r="C39" s="95"/>
      <c r="D39" s="95"/>
      <c r="E39" s="96"/>
    </row>
    <row r="40" spans="1:5" ht="4.7" customHeight="1" thickBot="1">
      <c r="A40" s="69"/>
      <c r="B40" s="69"/>
      <c r="C40" s="69"/>
      <c r="D40" s="69"/>
      <c r="E40" s="69"/>
    </row>
    <row r="41" spans="1:5" ht="43.7" customHeight="1" thickBot="1">
      <c r="A41" s="13" t="e" vm="1">
        <v>#VALUE!</v>
      </c>
      <c r="B41" s="10"/>
      <c r="C41" s="14"/>
      <c r="D41" s="11" t="str">
        <f>'Company Data'!$B$2</f>
        <v>DK Company Vejle A/S
Edisonvej 4
7100 Vejle
Denmark</v>
      </c>
      <c r="E41" s="12"/>
    </row>
    <row r="42" spans="1:5" ht="18">
      <c r="A42" s="15" t="s">
        <v>1</v>
      </c>
      <c r="B42" s="16" t="s">
        <v>49</v>
      </c>
      <c r="C42" s="6"/>
      <c r="D42" s="2" t="s">
        <v>2</v>
      </c>
      <c r="E42" s="17">
        <v>16</v>
      </c>
    </row>
    <row r="43" spans="1:5" ht="18">
      <c r="A43" s="15" t="s">
        <v>3</v>
      </c>
      <c r="B43" s="16">
        <v>50109763</v>
      </c>
      <c r="C43" s="7"/>
      <c r="D43" s="2" t="s">
        <v>4</v>
      </c>
      <c r="E43" s="17" t="s">
        <v>51</v>
      </c>
    </row>
    <row r="44" spans="1:5" ht="18">
      <c r="A44" s="15" t="s">
        <v>5</v>
      </c>
      <c r="B44" s="16">
        <v>108580</v>
      </c>
      <c r="C44" s="7"/>
      <c r="D44" s="2" t="s">
        <v>6</v>
      </c>
      <c r="E44" s="17" t="s">
        <v>48</v>
      </c>
    </row>
    <row r="45" spans="1:5" ht="18">
      <c r="A45" s="15" t="s">
        <v>7</v>
      </c>
      <c r="B45" s="16" t="s">
        <v>48</v>
      </c>
      <c r="C45" s="7"/>
      <c r="D45" s="2" t="s">
        <v>8</v>
      </c>
      <c r="E45" s="18">
        <v>6</v>
      </c>
    </row>
    <row r="46" spans="1:5" ht="18.399999999999999" thickBot="1">
      <c r="A46" s="15" t="s">
        <v>9</v>
      </c>
      <c r="B46" s="19">
        <v>5715576671756</v>
      </c>
      <c r="C46" s="8"/>
      <c r="D46" s="2" t="s">
        <v>10</v>
      </c>
      <c r="E46" s="18">
        <v>32</v>
      </c>
    </row>
    <row r="47" spans="1:5" ht="50.75" customHeight="1" thickBot="1">
      <c r="A47" s="94" t="s">
        <v>59</v>
      </c>
      <c r="B47" s="95"/>
      <c r="C47" s="95"/>
      <c r="D47" s="95"/>
      <c r="E47" s="96"/>
    </row>
    <row r="48" spans="1:5" ht="4.7" customHeight="1" thickBot="1">
      <c r="A48" s="69"/>
      <c r="B48" s="69"/>
      <c r="C48" s="69"/>
      <c r="D48" s="69"/>
      <c r="E48" s="69"/>
    </row>
    <row r="49" spans="1:5" ht="43.7" customHeight="1" thickBot="1">
      <c r="A49" s="13" t="e" vm="1">
        <v>#VALUE!</v>
      </c>
      <c r="B49" s="10"/>
      <c r="C49" s="14"/>
      <c r="D49" s="11" t="str">
        <f>'Company Data'!$B$2</f>
        <v>DK Company Vejle A/S
Edisonvej 4
7100 Vejle
Denmark</v>
      </c>
      <c r="E49" s="12"/>
    </row>
    <row r="50" spans="1:5" ht="18">
      <c r="A50" s="15" t="s">
        <v>1</v>
      </c>
      <c r="B50" s="16" t="s">
        <v>49</v>
      </c>
      <c r="C50" s="6"/>
      <c r="D50" s="2" t="s">
        <v>2</v>
      </c>
      <c r="E50" s="17">
        <v>16</v>
      </c>
    </row>
    <row r="51" spans="1:5" ht="18">
      <c r="A51" s="15" t="s">
        <v>3</v>
      </c>
      <c r="B51" s="16">
        <v>50109763</v>
      </c>
      <c r="C51" s="7"/>
      <c r="D51" s="2" t="s">
        <v>4</v>
      </c>
      <c r="E51" s="17" t="s">
        <v>53</v>
      </c>
    </row>
    <row r="52" spans="1:5" ht="18">
      <c r="A52" s="15" t="s">
        <v>5</v>
      </c>
      <c r="B52" s="16">
        <v>108580</v>
      </c>
      <c r="C52" s="7"/>
      <c r="D52" s="2" t="s">
        <v>6</v>
      </c>
      <c r="E52" s="17" t="s">
        <v>48</v>
      </c>
    </row>
    <row r="53" spans="1:5" ht="18">
      <c r="A53" s="15" t="s">
        <v>7</v>
      </c>
      <c r="B53" s="16" t="s">
        <v>48</v>
      </c>
      <c r="C53" s="7"/>
      <c r="D53" s="2" t="s">
        <v>8</v>
      </c>
      <c r="E53" s="18">
        <v>7</v>
      </c>
    </row>
    <row r="54" spans="1:5" ht="18.399999999999999" thickBot="1">
      <c r="A54" s="15" t="s">
        <v>9</v>
      </c>
      <c r="B54" s="19">
        <v>5715576671756</v>
      </c>
      <c r="C54" s="8"/>
      <c r="D54" s="2" t="s">
        <v>10</v>
      </c>
      <c r="E54" s="18">
        <v>32</v>
      </c>
    </row>
    <row r="55" spans="1:5" ht="50.75" customHeight="1" thickBot="1">
      <c r="A55" s="94" t="s">
        <v>59</v>
      </c>
      <c r="B55" s="95"/>
      <c r="C55" s="95"/>
      <c r="D55" s="95"/>
      <c r="E55" s="96"/>
    </row>
    <row r="56" spans="1:5" ht="4.7" customHeight="1" thickBot="1">
      <c r="A56" s="69"/>
      <c r="B56" s="69"/>
      <c r="C56" s="69"/>
      <c r="D56" s="69"/>
      <c r="E56" s="69"/>
    </row>
    <row r="57" spans="1:5" ht="43.7" customHeight="1" thickBot="1">
      <c r="A57" s="13" t="e" vm="1">
        <v>#VALUE!</v>
      </c>
      <c r="B57" s="10"/>
      <c r="C57" s="14"/>
      <c r="D57" s="11" t="str">
        <f>'Company Data'!$B$2</f>
        <v>DK Company Vejle A/S
Edisonvej 4
7100 Vejle
Denmark</v>
      </c>
      <c r="E57" s="12"/>
    </row>
    <row r="58" spans="1:5" ht="18">
      <c r="A58" s="15" t="s">
        <v>1</v>
      </c>
      <c r="B58" s="16" t="s">
        <v>49</v>
      </c>
      <c r="C58" s="6"/>
      <c r="D58" s="2" t="s">
        <v>2</v>
      </c>
      <c r="E58" s="17">
        <v>16</v>
      </c>
    </row>
    <row r="59" spans="1:5" ht="18">
      <c r="A59" s="15" t="s">
        <v>3</v>
      </c>
      <c r="B59" s="16">
        <v>50109763</v>
      </c>
      <c r="C59" s="7"/>
      <c r="D59" s="2" t="s">
        <v>4</v>
      </c>
      <c r="E59" s="17" t="s">
        <v>53</v>
      </c>
    </row>
    <row r="60" spans="1:5" ht="18">
      <c r="A60" s="15" t="s">
        <v>5</v>
      </c>
      <c r="B60" s="16">
        <v>108580</v>
      </c>
      <c r="C60" s="7"/>
      <c r="D60" s="2" t="s">
        <v>6</v>
      </c>
      <c r="E60" s="17" t="s">
        <v>48</v>
      </c>
    </row>
    <row r="61" spans="1:5" ht="18">
      <c r="A61" s="15" t="s">
        <v>7</v>
      </c>
      <c r="B61" s="16" t="s">
        <v>48</v>
      </c>
      <c r="C61" s="7"/>
      <c r="D61" s="2" t="s">
        <v>8</v>
      </c>
      <c r="E61" s="18">
        <v>8</v>
      </c>
    </row>
    <row r="62" spans="1:5" ht="18.399999999999999" thickBot="1">
      <c r="A62" s="15" t="s">
        <v>9</v>
      </c>
      <c r="B62" s="19">
        <v>5715576671756</v>
      </c>
      <c r="C62" s="8"/>
      <c r="D62" s="2" t="s">
        <v>10</v>
      </c>
      <c r="E62" s="18">
        <v>32</v>
      </c>
    </row>
    <row r="63" spans="1:5" ht="50.75" customHeight="1" thickBot="1">
      <c r="A63" s="94" t="s">
        <v>59</v>
      </c>
      <c r="B63" s="95"/>
      <c r="C63" s="95"/>
      <c r="D63" s="95"/>
      <c r="E63" s="96"/>
    </row>
    <row r="64" spans="1:5" ht="4.7" customHeight="1" thickBot="1">
      <c r="A64" s="69"/>
      <c r="B64" s="69"/>
      <c r="C64" s="69"/>
      <c r="D64" s="69"/>
      <c r="E64" s="69"/>
    </row>
    <row r="65" spans="1:5" ht="43.7" customHeight="1" thickBot="1">
      <c r="A65" s="13" t="e" vm="1">
        <v>#VALUE!</v>
      </c>
      <c r="B65" s="10"/>
      <c r="C65" s="14"/>
      <c r="D65" s="11" t="str">
        <f>'Company Data'!$B$2</f>
        <v>DK Company Vejle A/S
Edisonvej 4
7100 Vejle
Denmark</v>
      </c>
      <c r="E65" s="12"/>
    </row>
    <row r="66" spans="1:5" ht="18">
      <c r="A66" s="15" t="s">
        <v>1</v>
      </c>
      <c r="B66" s="16" t="s">
        <v>49</v>
      </c>
      <c r="C66" s="6"/>
      <c r="D66" s="2" t="s">
        <v>2</v>
      </c>
      <c r="E66" s="17">
        <v>16</v>
      </c>
    </row>
    <row r="67" spans="1:5" ht="18">
      <c r="A67" s="15" t="s">
        <v>3</v>
      </c>
      <c r="B67" s="16">
        <v>50109763</v>
      </c>
      <c r="C67" s="7"/>
      <c r="D67" s="2" t="s">
        <v>4</v>
      </c>
      <c r="E67" s="17" t="s">
        <v>53</v>
      </c>
    </row>
    <row r="68" spans="1:5" ht="18">
      <c r="A68" s="15" t="s">
        <v>5</v>
      </c>
      <c r="B68" s="16">
        <v>108580</v>
      </c>
      <c r="C68" s="7"/>
      <c r="D68" s="2" t="s">
        <v>6</v>
      </c>
      <c r="E68" s="17" t="s">
        <v>48</v>
      </c>
    </row>
    <row r="69" spans="1:5" ht="18">
      <c r="A69" s="15" t="s">
        <v>7</v>
      </c>
      <c r="B69" s="16" t="s">
        <v>48</v>
      </c>
      <c r="C69" s="7"/>
      <c r="D69" s="2" t="s">
        <v>8</v>
      </c>
      <c r="E69" s="18">
        <v>9</v>
      </c>
    </row>
    <row r="70" spans="1:5" ht="18.399999999999999" thickBot="1">
      <c r="A70" s="15" t="s">
        <v>9</v>
      </c>
      <c r="B70" s="19">
        <v>5715576671756</v>
      </c>
      <c r="C70" s="8"/>
      <c r="D70" s="2" t="s">
        <v>10</v>
      </c>
      <c r="E70" s="18">
        <v>32</v>
      </c>
    </row>
    <row r="71" spans="1:5" ht="50.75" customHeight="1" thickBot="1">
      <c r="A71" s="94" t="s">
        <v>59</v>
      </c>
      <c r="B71" s="95"/>
      <c r="C71" s="95"/>
      <c r="D71" s="95"/>
      <c r="E71" s="96"/>
    </row>
    <row r="72" spans="1:5" ht="4.7" customHeight="1" thickBot="1">
      <c r="A72" s="69"/>
      <c r="B72" s="69"/>
      <c r="C72" s="69"/>
      <c r="D72" s="69"/>
      <c r="E72" s="69"/>
    </row>
    <row r="73" spans="1:5" ht="43.7" customHeight="1" thickBot="1">
      <c r="A73" s="13" t="e" vm="1">
        <v>#VALUE!</v>
      </c>
      <c r="B73" s="10"/>
      <c r="C73" s="14"/>
      <c r="D73" s="11" t="str">
        <f>'Company Data'!$B$2</f>
        <v>DK Company Vejle A/S
Edisonvej 4
7100 Vejle
Denmark</v>
      </c>
      <c r="E73" s="12"/>
    </row>
    <row r="74" spans="1:5" ht="18">
      <c r="A74" s="15" t="s">
        <v>1</v>
      </c>
      <c r="B74" s="16" t="s">
        <v>49</v>
      </c>
      <c r="C74" s="6"/>
      <c r="D74" s="2" t="s">
        <v>2</v>
      </c>
      <c r="E74" s="17">
        <v>16</v>
      </c>
    </row>
    <row r="75" spans="1:5" ht="18">
      <c r="A75" s="15" t="s">
        <v>3</v>
      </c>
      <c r="B75" s="16">
        <v>50109763</v>
      </c>
      <c r="C75" s="7"/>
      <c r="D75" s="2" t="s">
        <v>4</v>
      </c>
      <c r="E75" s="17" t="s">
        <v>53</v>
      </c>
    </row>
    <row r="76" spans="1:5" ht="18">
      <c r="A76" s="15" t="s">
        <v>5</v>
      </c>
      <c r="B76" s="16">
        <v>108580</v>
      </c>
      <c r="C76" s="7"/>
      <c r="D76" s="2" t="s">
        <v>6</v>
      </c>
      <c r="E76" s="17" t="s">
        <v>48</v>
      </c>
    </row>
    <row r="77" spans="1:5" ht="18">
      <c r="A77" s="15" t="s">
        <v>7</v>
      </c>
      <c r="B77" s="16" t="s">
        <v>48</v>
      </c>
      <c r="C77" s="7"/>
      <c r="D77" s="2" t="s">
        <v>8</v>
      </c>
      <c r="E77" s="18">
        <v>10</v>
      </c>
    </row>
    <row r="78" spans="1:5" ht="18.399999999999999" thickBot="1">
      <c r="A78" s="15" t="s">
        <v>9</v>
      </c>
      <c r="B78" s="19">
        <v>5715576671756</v>
      </c>
      <c r="C78" s="8"/>
      <c r="D78" s="2" t="s">
        <v>10</v>
      </c>
      <c r="E78" s="18">
        <v>32</v>
      </c>
    </row>
    <row r="79" spans="1:5" ht="50.75" customHeight="1" thickBot="1">
      <c r="A79" s="94" t="s">
        <v>59</v>
      </c>
      <c r="B79" s="95"/>
      <c r="C79" s="95"/>
      <c r="D79" s="95"/>
      <c r="E79" s="96"/>
    </row>
    <row r="80" spans="1:5" ht="4.7" customHeight="1" thickBot="1">
      <c r="A80" s="69"/>
      <c r="B80" s="69"/>
      <c r="C80" s="69"/>
      <c r="D80" s="69"/>
      <c r="E80" s="69"/>
    </row>
    <row r="81" spans="1:5" ht="43.7" customHeight="1" thickBot="1">
      <c r="A81" s="13" t="e" vm="1">
        <v>#VALUE!</v>
      </c>
      <c r="B81" s="10"/>
      <c r="C81" s="14"/>
      <c r="D81" s="11" t="str">
        <f>'Company Data'!$B$2</f>
        <v>DK Company Vejle A/S
Edisonvej 4
7100 Vejle
Denmark</v>
      </c>
      <c r="E81" s="12"/>
    </row>
    <row r="82" spans="1:5" ht="18">
      <c r="A82" s="15" t="s">
        <v>1</v>
      </c>
      <c r="B82" s="16" t="s">
        <v>49</v>
      </c>
      <c r="C82" s="6"/>
      <c r="D82" s="2" t="s">
        <v>2</v>
      </c>
      <c r="E82" s="17">
        <v>16</v>
      </c>
    </row>
    <row r="83" spans="1:5" ht="18">
      <c r="A83" s="15" t="s">
        <v>3</v>
      </c>
      <c r="B83" s="16">
        <v>50109763</v>
      </c>
      <c r="C83" s="7"/>
      <c r="D83" s="2" t="s">
        <v>4</v>
      </c>
      <c r="E83" s="17" t="s">
        <v>53</v>
      </c>
    </row>
    <row r="84" spans="1:5" ht="18">
      <c r="A84" s="15" t="s">
        <v>5</v>
      </c>
      <c r="B84" s="16">
        <v>108580</v>
      </c>
      <c r="C84" s="7"/>
      <c r="D84" s="2" t="s">
        <v>6</v>
      </c>
      <c r="E84" s="17" t="s">
        <v>48</v>
      </c>
    </row>
    <row r="85" spans="1:5" ht="18">
      <c r="A85" s="15" t="s">
        <v>7</v>
      </c>
      <c r="B85" s="16" t="s">
        <v>48</v>
      </c>
      <c r="C85" s="7"/>
      <c r="D85" s="2" t="s">
        <v>8</v>
      </c>
      <c r="E85" s="18">
        <v>11</v>
      </c>
    </row>
    <row r="86" spans="1:5" ht="18.399999999999999" thickBot="1">
      <c r="A86" s="15" t="s">
        <v>9</v>
      </c>
      <c r="B86" s="19">
        <v>5715576671756</v>
      </c>
      <c r="C86" s="8"/>
      <c r="D86" s="2" t="s">
        <v>10</v>
      </c>
      <c r="E86" s="18">
        <v>32</v>
      </c>
    </row>
    <row r="87" spans="1:5" ht="50.75" customHeight="1" thickBot="1">
      <c r="A87" s="94" t="s">
        <v>59</v>
      </c>
      <c r="B87" s="95"/>
      <c r="C87" s="95"/>
      <c r="D87" s="95"/>
      <c r="E87" s="96"/>
    </row>
    <row r="88" spans="1:5" ht="4.7" customHeight="1" thickBot="1">
      <c r="A88" s="69"/>
      <c r="B88" s="69"/>
      <c r="C88" s="69"/>
      <c r="D88" s="69"/>
      <c r="E88" s="69"/>
    </row>
    <row r="89" spans="1:5" ht="43.7" customHeight="1" thickBot="1">
      <c r="A89" s="13" t="e" vm="1">
        <v>#VALUE!</v>
      </c>
      <c r="B89" s="10"/>
      <c r="C89" s="14"/>
      <c r="D89" s="11" t="str">
        <f>'Company Data'!$B$2</f>
        <v>DK Company Vejle A/S
Edisonvej 4
7100 Vejle
Denmark</v>
      </c>
      <c r="E89" s="12"/>
    </row>
    <row r="90" spans="1:5" ht="18">
      <c r="A90" s="15" t="s">
        <v>1</v>
      </c>
      <c r="B90" s="16" t="s">
        <v>49</v>
      </c>
      <c r="C90" s="6"/>
      <c r="D90" s="2" t="s">
        <v>2</v>
      </c>
      <c r="E90" s="17">
        <v>16</v>
      </c>
    </row>
    <row r="91" spans="1:5" ht="18">
      <c r="A91" s="15" t="s">
        <v>3</v>
      </c>
      <c r="B91" s="16">
        <v>50109763</v>
      </c>
      <c r="C91" s="7"/>
      <c r="D91" s="2" t="s">
        <v>4</v>
      </c>
      <c r="E91" s="17" t="s">
        <v>53</v>
      </c>
    </row>
    <row r="92" spans="1:5" ht="18">
      <c r="A92" s="15" t="s">
        <v>5</v>
      </c>
      <c r="B92" s="16">
        <v>108580</v>
      </c>
      <c r="C92" s="7"/>
      <c r="D92" s="2" t="s">
        <v>6</v>
      </c>
      <c r="E92" s="17" t="s">
        <v>48</v>
      </c>
    </row>
    <row r="93" spans="1:5" ht="18">
      <c r="A93" s="15" t="s">
        <v>7</v>
      </c>
      <c r="B93" s="16" t="s">
        <v>48</v>
      </c>
      <c r="C93" s="7"/>
      <c r="D93" s="2" t="s">
        <v>8</v>
      </c>
      <c r="E93" s="18">
        <v>12</v>
      </c>
    </row>
    <row r="94" spans="1:5" ht="18.399999999999999" thickBot="1">
      <c r="A94" s="15" t="s">
        <v>9</v>
      </c>
      <c r="B94" s="19">
        <v>5715576671756</v>
      </c>
      <c r="C94" s="8"/>
      <c r="D94" s="2" t="s">
        <v>10</v>
      </c>
      <c r="E94" s="18">
        <v>32</v>
      </c>
    </row>
    <row r="95" spans="1:5" ht="50.75" customHeight="1" thickBot="1">
      <c r="A95" s="94" t="s">
        <v>59</v>
      </c>
      <c r="B95" s="95"/>
      <c r="C95" s="95"/>
      <c r="D95" s="95"/>
      <c r="E95" s="96"/>
    </row>
    <row r="96" spans="1:5" ht="4.7" customHeight="1" thickBot="1">
      <c r="A96" s="69"/>
      <c r="B96" s="69"/>
      <c r="C96" s="69"/>
      <c r="D96" s="69"/>
      <c r="E96" s="69"/>
    </row>
    <row r="97" spans="1:5" ht="43.7" customHeight="1" thickBot="1">
      <c r="A97" s="13" t="e" vm="1">
        <v>#VALUE!</v>
      </c>
      <c r="B97" s="10"/>
      <c r="C97" s="14"/>
      <c r="D97" s="11" t="str">
        <f>'Company Data'!$B$2</f>
        <v>DK Company Vejle A/S
Edisonvej 4
7100 Vejle
Denmark</v>
      </c>
      <c r="E97" s="12"/>
    </row>
    <row r="98" spans="1:5" ht="18">
      <c r="A98" s="15" t="s">
        <v>1</v>
      </c>
      <c r="B98" s="16" t="s">
        <v>49</v>
      </c>
      <c r="C98" s="6"/>
      <c r="D98" s="2" t="s">
        <v>2</v>
      </c>
      <c r="E98" s="17">
        <v>16</v>
      </c>
    </row>
    <row r="99" spans="1:5" ht="18">
      <c r="A99" s="15" t="s">
        <v>3</v>
      </c>
      <c r="B99" s="16">
        <v>50109763</v>
      </c>
      <c r="C99" s="7"/>
      <c r="D99" s="2" t="s">
        <v>4</v>
      </c>
      <c r="E99" s="17" t="s">
        <v>53</v>
      </c>
    </row>
    <row r="100" spans="1:5" ht="18">
      <c r="A100" s="15" t="s">
        <v>5</v>
      </c>
      <c r="B100" s="16">
        <v>108580</v>
      </c>
      <c r="C100" s="7"/>
      <c r="D100" s="2" t="s">
        <v>6</v>
      </c>
      <c r="E100" s="17" t="s">
        <v>48</v>
      </c>
    </row>
    <row r="101" spans="1:5" ht="18">
      <c r="A101" s="15" t="s">
        <v>7</v>
      </c>
      <c r="B101" s="16" t="s">
        <v>48</v>
      </c>
      <c r="C101" s="7"/>
      <c r="D101" s="2" t="s">
        <v>8</v>
      </c>
      <c r="E101" s="18">
        <v>13</v>
      </c>
    </row>
    <row r="102" spans="1:5" ht="18.399999999999999" thickBot="1">
      <c r="A102" s="15" t="s">
        <v>9</v>
      </c>
      <c r="B102" s="19">
        <v>5715576671756</v>
      </c>
      <c r="C102" s="8"/>
      <c r="D102" s="2" t="s">
        <v>10</v>
      </c>
      <c r="E102" s="18">
        <v>32</v>
      </c>
    </row>
    <row r="103" spans="1:5" ht="50.75" customHeight="1" thickBot="1">
      <c r="A103" s="94" t="s">
        <v>59</v>
      </c>
      <c r="B103" s="95"/>
      <c r="C103" s="95"/>
      <c r="D103" s="95"/>
      <c r="E103" s="96"/>
    </row>
    <row r="104" spans="1:5" ht="4.7" customHeight="1" thickBot="1">
      <c r="A104" s="69"/>
      <c r="B104" s="69"/>
      <c r="C104" s="69"/>
      <c r="D104" s="69"/>
      <c r="E104" s="69"/>
    </row>
    <row r="105" spans="1:5" ht="43.7" customHeight="1" thickBot="1">
      <c r="A105" s="13" t="e" vm="1">
        <v>#VALUE!</v>
      </c>
      <c r="B105" s="10"/>
      <c r="C105" s="14"/>
      <c r="D105" s="11" t="str">
        <f>'Company Data'!$B$2</f>
        <v>DK Company Vejle A/S
Edisonvej 4
7100 Vejle
Denmark</v>
      </c>
      <c r="E105" s="12"/>
    </row>
    <row r="106" spans="1:5" ht="18">
      <c r="A106" s="15" t="s">
        <v>1</v>
      </c>
      <c r="B106" s="16" t="s">
        <v>49</v>
      </c>
      <c r="C106" s="6"/>
      <c r="D106" s="2" t="s">
        <v>2</v>
      </c>
      <c r="E106" s="17">
        <v>16</v>
      </c>
    </row>
    <row r="107" spans="1:5" ht="18">
      <c r="A107" s="15" t="s">
        <v>3</v>
      </c>
      <c r="B107" s="16">
        <v>50109763</v>
      </c>
      <c r="C107" s="7"/>
      <c r="D107" s="2" t="s">
        <v>4</v>
      </c>
      <c r="E107" s="17" t="s">
        <v>54</v>
      </c>
    </row>
    <row r="108" spans="1:5" ht="18">
      <c r="A108" s="15" t="s">
        <v>5</v>
      </c>
      <c r="B108" s="16">
        <v>108580</v>
      </c>
      <c r="C108" s="7"/>
      <c r="D108" s="2" t="s">
        <v>6</v>
      </c>
      <c r="E108" s="17" t="s">
        <v>48</v>
      </c>
    </row>
    <row r="109" spans="1:5" ht="18">
      <c r="A109" s="15" t="s">
        <v>7</v>
      </c>
      <c r="B109" s="16" t="s">
        <v>48</v>
      </c>
      <c r="C109" s="7"/>
      <c r="D109" s="2" t="s">
        <v>8</v>
      </c>
      <c r="E109" s="18">
        <v>14</v>
      </c>
    </row>
    <row r="110" spans="1:5" ht="18.399999999999999" thickBot="1">
      <c r="A110" s="15" t="s">
        <v>9</v>
      </c>
      <c r="B110" s="19">
        <v>5715576671749</v>
      </c>
      <c r="C110" s="8"/>
      <c r="D110" s="2" t="s">
        <v>10</v>
      </c>
      <c r="E110" s="18">
        <v>32</v>
      </c>
    </row>
    <row r="111" spans="1:5" ht="50.75" customHeight="1" thickBot="1">
      <c r="A111" s="94" t="s">
        <v>60</v>
      </c>
      <c r="B111" s="95"/>
      <c r="C111" s="95"/>
      <c r="D111" s="95"/>
      <c r="E111" s="96"/>
    </row>
    <row r="112" spans="1:5" ht="4.7" customHeight="1" thickBot="1">
      <c r="A112" s="69"/>
      <c r="B112" s="69"/>
      <c r="C112" s="69"/>
      <c r="D112" s="69"/>
      <c r="E112" s="69"/>
    </row>
    <row r="113" spans="1:5" ht="43.7" customHeight="1" thickBot="1">
      <c r="A113" s="13" t="e" vm="1">
        <v>#VALUE!</v>
      </c>
      <c r="B113" s="10"/>
      <c r="C113" s="14"/>
      <c r="D113" s="11" t="str">
        <f>'Company Data'!$B$2</f>
        <v>DK Company Vejle A/S
Edisonvej 4
7100 Vejle
Denmark</v>
      </c>
      <c r="E113" s="12"/>
    </row>
    <row r="114" spans="1:5" ht="18">
      <c r="A114" s="15" t="s">
        <v>1</v>
      </c>
      <c r="B114" s="16" t="s">
        <v>49</v>
      </c>
      <c r="C114" s="6"/>
      <c r="D114" s="2" t="s">
        <v>2</v>
      </c>
      <c r="E114" s="17">
        <v>16</v>
      </c>
    </row>
    <row r="115" spans="1:5" ht="18">
      <c r="A115" s="15" t="s">
        <v>3</v>
      </c>
      <c r="B115" s="16">
        <v>50109763</v>
      </c>
      <c r="C115" s="7"/>
      <c r="D115" s="2" t="s">
        <v>4</v>
      </c>
      <c r="E115" s="17" t="s">
        <v>54</v>
      </c>
    </row>
    <row r="116" spans="1:5" ht="18">
      <c r="A116" s="15" t="s">
        <v>5</v>
      </c>
      <c r="B116" s="16">
        <v>108580</v>
      </c>
      <c r="C116" s="7"/>
      <c r="D116" s="2" t="s">
        <v>6</v>
      </c>
      <c r="E116" s="17" t="s">
        <v>48</v>
      </c>
    </row>
    <row r="117" spans="1:5" ht="18">
      <c r="A117" s="15" t="s">
        <v>7</v>
      </c>
      <c r="B117" s="16" t="s">
        <v>48</v>
      </c>
      <c r="C117" s="7"/>
      <c r="D117" s="2" t="s">
        <v>8</v>
      </c>
      <c r="E117" s="18">
        <v>15</v>
      </c>
    </row>
    <row r="118" spans="1:5" ht="18.399999999999999" thickBot="1">
      <c r="A118" s="15" t="s">
        <v>9</v>
      </c>
      <c r="B118" s="19">
        <v>5715576671749</v>
      </c>
      <c r="C118" s="8"/>
      <c r="D118" s="2" t="s">
        <v>10</v>
      </c>
      <c r="E118" s="18">
        <v>32</v>
      </c>
    </row>
    <row r="119" spans="1:5" ht="50.75" customHeight="1" thickBot="1">
      <c r="A119" s="94" t="s">
        <v>60</v>
      </c>
      <c r="B119" s="95"/>
      <c r="C119" s="95"/>
      <c r="D119" s="95"/>
      <c r="E119" s="96"/>
    </row>
    <row r="120" spans="1:5" ht="4.7" customHeight="1" thickBot="1">
      <c r="A120" s="69"/>
      <c r="B120" s="69"/>
      <c r="C120" s="69"/>
      <c r="D120" s="69"/>
      <c r="E120" s="69"/>
    </row>
    <row r="121" spans="1:5" ht="43.7" customHeight="1" thickBot="1">
      <c r="A121" s="13" t="e" vm="1">
        <v>#VALUE!</v>
      </c>
      <c r="B121" s="10"/>
      <c r="C121" s="14"/>
      <c r="D121" s="11" t="str">
        <f>'Company Data'!$B$2</f>
        <v>DK Company Vejle A/S
Edisonvej 4
7100 Vejle
Denmark</v>
      </c>
      <c r="E121" s="12"/>
    </row>
    <row r="122" spans="1:5" ht="18">
      <c r="A122" s="15" t="s">
        <v>1</v>
      </c>
      <c r="B122" s="16" t="s">
        <v>49</v>
      </c>
      <c r="C122" s="6"/>
      <c r="D122" s="2" t="s">
        <v>2</v>
      </c>
      <c r="E122" s="17">
        <v>16</v>
      </c>
    </row>
    <row r="123" spans="1:5" ht="18">
      <c r="A123" s="15" t="s">
        <v>3</v>
      </c>
      <c r="B123" s="16">
        <v>50109763</v>
      </c>
      <c r="C123" s="7"/>
      <c r="D123" s="2" t="s">
        <v>4</v>
      </c>
      <c r="E123" s="17" t="s">
        <v>54</v>
      </c>
    </row>
    <row r="124" spans="1:5" ht="18">
      <c r="A124" s="15" t="s">
        <v>5</v>
      </c>
      <c r="B124" s="16">
        <v>108580</v>
      </c>
      <c r="C124" s="7"/>
      <c r="D124" s="2" t="s">
        <v>6</v>
      </c>
      <c r="E124" s="17" t="s">
        <v>48</v>
      </c>
    </row>
    <row r="125" spans="1:5" ht="18">
      <c r="A125" s="15" t="s">
        <v>7</v>
      </c>
      <c r="B125" s="16" t="s">
        <v>48</v>
      </c>
      <c r="C125" s="7"/>
      <c r="D125" s="2" t="s">
        <v>8</v>
      </c>
      <c r="E125" s="18">
        <v>16</v>
      </c>
    </row>
    <row r="126" spans="1:5" ht="18.399999999999999" thickBot="1">
      <c r="A126" s="15" t="s">
        <v>9</v>
      </c>
      <c r="B126" s="19">
        <v>5715576671749</v>
      </c>
      <c r="C126" s="8"/>
      <c r="D126" s="2" t="s">
        <v>10</v>
      </c>
      <c r="E126" s="18">
        <v>32</v>
      </c>
    </row>
    <row r="127" spans="1:5" ht="50.75" customHeight="1" thickBot="1">
      <c r="A127" s="94" t="s">
        <v>60</v>
      </c>
      <c r="B127" s="95"/>
      <c r="C127" s="95"/>
      <c r="D127" s="95"/>
      <c r="E127" s="96"/>
    </row>
    <row r="128" spans="1:5" ht="4.7" customHeight="1" thickBot="1">
      <c r="A128" s="69"/>
      <c r="B128" s="69"/>
      <c r="C128" s="69"/>
      <c r="D128" s="69"/>
      <c r="E128" s="69"/>
    </row>
    <row r="129" spans="1:5" ht="43.7" customHeight="1" thickBot="1">
      <c r="A129" s="13" t="e" vm="1">
        <v>#VALUE!</v>
      </c>
      <c r="B129" s="10"/>
      <c r="C129" s="14"/>
      <c r="D129" s="11" t="str">
        <f>'Company Data'!$B$2</f>
        <v>DK Company Vejle A/S
Edisonvej 4
7100 Vejle
Denmark</v>
      </c>
      <c r="E129" s="12"/>
    </row>
    <row r="130" spans="1:5" ht="18">
      <c r="A130" s="15" t="s">
        <v>1</v>
      </c>
      <c r="B130" s="16" t="s">
        <v>49</v>
      </c>
      <c r="C130" s="6"/>
      <c r="D130" s="2" t="s">
        <v>2</v>
      </c>
      <c r="E130" s="17">
        <v>16</v>
      </c>
    </row>
    <row r="131" spans="1:5" ht="18">
      <c r="A131" s="15" t="s">
        <v>3</v>
      </c>
      <c r="B131" s="16">
        <v>50109763</v>
      </c>
      <c r="C131" s="7"/>
      <c r="D131" s="2" t="s">
        <v>4</v>
      </c>
      <c r="E131" s="17" t="s">
        <v>54</v>
      </c>
    </row>
    <row r="132" spans="1:5" ht="18">
      <c r="A132" s="15" t="s">
        <v>5</v>
      </c>
      <c r="B132" s="16">
        <v>108580</v>
      </c>
      <c r="C132" s="7"/>
      <c r="D132" s="2" t="s">
        <v>6</v>
      </c>
      <c r="E132" s="17" t="s">
        <v>48</v>
      </c>
    </row>
    <row r="133" spans="1:5" ht="18">
      <c r="A133" s="15" t="s">
        <v>7</v>
      </c>
      <c r="B133" s="16" t="s">
        <v>48</v>
      </c>
      <c r="C133" s="7"/>
      <c r="D133" s="2" t="s">
        <v>8</v>
      </c>
      <c r="E133" s="18">
        <v>17</v>
      </c>
    </row>
    <row r="134" spans="1:5" ht="18.399999999999999" thickBot="1">
      <c r="A134" s="15" t="s">
        <v>9</v>
      </c>
      <c r="B134" s="19">
        <v>5715576671749</v>
      </c>
      <c r="C134" s="8"/>
      <c r="D134" s="2" t="s">
        <v>10</v>
      </c>
      <c r="E134" s="18">
        <v>32</v>
      </c>
    </row>
    <row r="135" spans="1:5" ht="50.75" customHeight="1" thickBot="1">
      <c r="A135" s="94" t="s">
        <v>60</v>
      </c>
      <c r="B135" s="95"/>
      <c r="C135" s="95"/>
      <c r="D135" s="95"/>
      <c r="E135" s="96"/>
    </row>
    <row r="136" spans="1:5" ht="4.7" customHeight="1" thickBot="1">
      <c r="A136" s="69"/>
      <c r="B136" s="69"/>
      <c r="C136" s="69"/>
      <c r="D136" s="69"/>
      <c r="E136" s="69"/>
    </row>
    <row r="137" spans="1:5" ht="43.7" customHeight="1" thickBot="1">
      <c r="A137" s="13" t="e" vm="1">
        <v>#VALUE!</v>
      </c>
      <c r="B137" s="10"/>
      <c r="C137" s="14"/>
      <c r="D137" s="11" t="str">
        <f>'Company Data'!$B$2</f>
        <v>DK Company Vejle A/S
Edisonvej 4
7100 Vejle
Denmark</v>
      </c>
      <c r="E137" s="12"/>
    </row>
    <row r="138" spans="1:5" ht="18">
      <c r="A138" s="15" t="s">
        <v>1</v>
      </c>
      <c r="B138" s="16" t="s">
        <v>49</v>
      </c>
      <c r="C138" s="6"/>
      <c r="D138" s="2" t="s">
        <v>2</v>
      </c>
      <c r="E138" s="17">
        <v>13</v>
      </c>
    </row>
    <row r="139" spans="1:5" ht="18">
      <c r="A139" s="15" t="s">
        <v>3</v>
      </c>
      <c r="B139" s="16">
        <v>50109763</v>
      </c>
      <c r="C139" s="7"/>
      <c r="D139" s="2" t="s">
        <v>4</v>
      </c>
      <c r="E139" s="17" t="s">
        <v>51</v>
      </c>
    </row>
    <row r="140" spans="1:5" ht="18">
      <c r="A140" s="15" t="s">
        <v>5</v>
      </c>
      <c r="B140" s="16">
        <v>108580</v>
      </c>
      <c r="C140" s="7"/>
      <c r="D140" s="2" t="s">
        <v>6</v>
      </c>
      <c r="E140" s="17" t="s">
        <v>48</v>
      </c>
    </row>
    <row r="141" spans="1:5" ht="18">
      <c r="A141" s="15" t="s">
        <v>7</v>
      </c>
      <c r="B141" s="16" t="s">
        <v>48</v>
      </c>
      <c r="C141" s="7"/>
      <c r="D141" s="2" t="s">
        <v>8</v>
      </c>
      <c r="E141" s="18">
        <v>18</v>
      </c>
    </row>
    <row r="142" spans="1:5" ht="18.399999999999999" thickBot="1">
      <c r="A142" s="15" t="s">
        <v>9</v>
      </c>
      <c r="B142" s="19">
        <v>5715576671756</v>
      </c>
      <c r="C142" s="8"/>
      <c r="D142" s="2" t="s">
        <v>10</v>
      </c>
      <c r="E142" s="18">
        <v>32</v>
      </c>
    </row>
    <row r="143" spans="1:5" ht="50.75" customHeight="1" thickBot="1">
      <c r="A143" s="94" t="s">
        <v>61</v>
      </c>
      <c r="B143" s="95"/>
      <c r="C143" s="95"/>
      <c r="D143" s="95"/>
      <c r="E143" s="96"/>
    </row>
    <row r="144" spans="1:5" ht="4.7" customHeight="1" thickBot="1">
      <c r="A144" s="69"/>
      <c r="B144" s="69"/>
      <c r="C144" s="69"/>
      <c r="D144" s="69"/>
      <c r="E144" s="69"/>
    </row>
    <row r="145" spans="1:5" ht="43.7" customHeight="1" thickBot="1">
      <c r="A145" s="13" t="e" vm="1">
        <v>#VALUE!</v>
      </c>
      <c r="B145" s="10"/>
      <c r="C145" s="14"/>
      <c r="D145" s="11" t="str">
        <f>'Company Data'!$B$2</f>
        <v>DK Company Vejle A/S
Edisonvej 4
7100 Vejle
Denmark</v>
      </c>
      <c r="E145" s="12"/>
    </row>
    <row r="146" spans="1:5" ht="18">
      <c r="A146" s="15" t="s">
        <v>1</v>
      </c>
      <c r="B146" s="16" t="s">
        <v>49</v>
      </c>
      <c r="C146" s="6"/>
      <c r="D146" s="2" t="s">
        <v>2</v>
      </c>
      <c r="E146" s="17" t="s">
        <v>103</v>
      </c>
    </row>
    <row r="147" spans="1:5" ht="18">
      <c r="A147" s="15" t="s">
        <v>3</v>
      </c>
      <c r="B147" s="16">
        <v>50109763</v>
      </c>
      <c r="C147" s="7"/>
      <c r="D147" s="2" t="s">
        <v>4</v>
      </c>
      <c r="E147" s="17" t="s">
        <v>53</v>
      </c>
    </row>
    <row r="148" spans="1:5" ht="18">
      <c r="A148" s="15" t="s">
        <v>5</v>
      </c>
      <c r="B148" s="16">
        <v>108580</v>
      </c>
      <c r="C148" s="7"/>
      <c r="D148" s="2" t="s">
        <v>6</v>
      </c>
      <c r="E148" s="17" t="s">
        <v>48</v>
      </c>
    </row>
    <row r="149" spans="1:5" ht="18">
      <c r="A149" s="15" t="s">
        <v>7</v>
      </c>
      <c r="B149" s="16" t="s">
        <v>48</v>
      </c>
      <c r="C149" s="7"/>
      <c r="D149" s="2" t="s">
        <v>8</v>
      </c>
      <c r="E149" s="18">
        <v>19</v>
      </c>
    </row>
    <row r="150" spans="1:5" ht="18.399999999999999" thickBot="1">
      <c r="A150" s="15" t="s">
        <v>9</v>
      </c>
      <c r="B150" s="19">
        <v>5715299098687</v>
      </c>
      <c r="C150" s="8"/>
      <c r="D150" s="2" t="s">
        <v>10</v>
      </c>
      <c r="E150" s="18">
        <v>32</v>
      </c>
    </row>
    <row r="151" spans="1:5" ht="50.75" customHeight="1" thickBot="1">
      <c r="A151" s="94" t="s">
        <v>105</v>
      </c>
      <c r="B151" s="95"/>
      <c r="C151" s="95"/>
      <c r="D151" s="95"/>
      <c r="E151" s="96"/>
    </row>
    <row r="152" spans="1:5" ht="4.7" customHeight="1" thickBot="1">
      <c r="A152" s="69"/>
      <c r="B152" s="69"/>
      <c r="C152" s="69"/>
      <c r="D152" s="69"/>
      <c r="E152" s="69"/>
    </row>
    <row r="153" spans="1:5" ht="43.7" customHeight="1" thickBot="1">
      <c r="A153" s="13" t="e" vm="1">
        <v>#VALUE!</v>
      </c>
      <c r="B153" s="10"/>
      <c r="C153" s="14"/>
      <c r="D153" s="11" t="str">
        <f>'Company Data'!$B$2</f>
        <v>DK Company Vejle A/S
Edisonvej 4
7100 Vejle
Denmark</v>
      </c>
      <c r="E153" s="12"/>
    </row>
    <row r="154" spans="1:5" ht="18">
      <c r="A154" s="15" t="s">
        <v>1</v>
      </c>
      <c r="B154" s="16" t="s">
        <v>49</v>
      </c>
      <c r="C154" s="6"/>
      <c r="D154" s="2" t="s">
        <v>2</v>
      </c>
      <c r="E154" s="17">
        <v>17</v>
      </c>
    </row>
    <row r="155" spans="1:5" ht="18">
      <c r="A155" s="15" t="s">
        <v>3</v>
      </c>
      <c r="B155" s="16">
        <v>50109763</v>
      </c>
      <c r="C155" s="7"/>
      <c r="D155" s="2" t="s">
        <v>4</v>
      </c>
      <c r="E155" s="17" t="s">
        <v>51</v>
      </c>
    </row>
    <row r="156" spans="1:5" ht="18">
      <c r="A156" s="15" t="s">
        <v>5</v>
      </c>
      <c r="B156" s="16">
        <v>500122</v>
      </c>
      <c r="C156" s="7"/>
      <c r="D156" s="2" t="s">
        <v>6</v>
      </c>
      <c r="E156" s="17" t="s">
        <v>48</v>
      </c>
    </row>
    <row r="157" spans="1:5" ht="18">
      <c r="A157" s="15" t="s">
        <v>7</v>
      </c>
      <c r="B157" s="16" t="s">
        <v>48</v>
      </c>
      <c r="C157" s="7"/>
      <c r="D157" s="2" t="s">
        <v>8</v>
      </c>
      <c r="E157" s="18">
        <v>20</v>
      </c>
    </row>
    <row r="158" spans="1:5" ht="18.399999999999999" thickBot="1">
      <c r="A158" s="15" t="s">
        <v>9</v>
      </c>
      <c r="B158" s="19">
        <v>5715299098687</v>
      </c>
      <c r="C158" s="8"/>
      <c r="D158" s="2" t="s">
        <v>10</v>
      </c>
      <c r="E158" s="18">
        <v>32</v>
      </c>
    </row>
    <row r="159" spans="1:5" ht="50.75" customHeight="1" thickBot="1">
      <c r="A159" s="94" t="s">
        <v>62</v>
      </c>
      <c r="B159" s="95"/>
      <c r="C159" s="95"/>
      <c r="D159" s="95"/>
      <c r="E159" s="96"/>
    </row>
    <row r="160" spans="1:5" ht="4.7" customHeight="1" thickBot="1">
      <c r="A160" s="69"/>
      <c r="B160" s="69"/>
      <c r="C160" s="69"/>
      <c r="D160" s="69"/>
      <c r="E160" s="69"/>
    </row>
    <row r="161" spans="1:5" ht="43.7" customHeight="1" thickBot="1">
      <c r="A161" s="13" t="e" vm="1">
        <v>#VALUE!</v>
      </c>
      <c r="B161" s="10"/>
      <c r="C161" s="14"/>
      <c r="D161" s="11" t="str">
        <f>'Company Data'!$B$2</f>
        <v>DK Company Vejle A/S
Edisonvej 4
7100 Vejle
Denmark</v>
      </c>
      <c r="E161" s="12"/>
    </row>
    <row r="162" spans="1:5" ht="18">
      <c r="A162" s="15" t="s">
        <v>1</v>
      </c>
      <c r="B162" s="16" t="s">
        <v>49</v>
      </c>
      <c r="C162" s="6"/>
      <c r="D162" s="2" t="s">
        <v>2</v>
      </c>
      <c r="E162" s="17">
        <v>17</v>
      </c>
    </row>
    <row r="163" spans="1:5" ht="18">
      <c r="A163" s="15" t="s">
        <v>3</v>
      </c>
      <c r="B163" s="16">
        <v>50109763</v>
      </c>
      <c r="C163" s="7"/>
      <c r="D163" s="2" t="s">
        <v>4</v>
      </c>
      <c r="E163" s="17" t="s">
        <v>51</v>
      </c>
    </row>
    <row r="164" spans="1:5" ht="18">
      <c r="A164" s="15" t="s">
        <v>5</v>
      </c>
      <c r="B164" s="16">
        <v>500122</v>
      </c>
      <c r="C164" s="7"/>
      <c r="D164" s="2" t="s">
        <v>6</v>
      </c>
      <c r="E164" s="17" t="s">
        <v>48</v>
      </c>
    </row>
    <row r="165" spans="1:5" ht="18">
      <c r="A165" s="15" t="s">
        <v>7</v>
      </c>
      <c r="B165" s="16" t="s">
        <v>48</v>
      </c>
      <c r="C165" s="7"/>
      <c r="D165" s="2" t="s">
        <v>8</v>
      </c>
      <c r="E165" s="18">
        <v>21</v>
      </c>
    </row>
    <row r="166" spans="1:5" ht="18.399999999999999" thickBot="1">
      <c r="A166" s="15" t="s">
        <v>9</v>
      </c>
      <c r="B166" s="19">
        <v>5715299098687</v>
      </c>
      <c r="C166" s="8"/>
      <c r="D166" s="2" t="s">
        <v>10</v>
      </c>
      <c r="E166" s="18">
        <v>32</v>
      </c>
    </row>
    <row r="167" spans="1:5" ht="50.75" customHeight="1" thickBot="1">
      <c r="A167" s="94" t="s">
        <v>62</v>
      </c>
      <c r="B167" s="95"/>
      <c r="C167" s="95"/>
      <c r="D167" s="95"/>
      <c r="E167" s="96"/>
    </row>
    <row r="168" spans="1:5" ht="4.7" customHeight="1" thickBot="1">
      <c r="A168" s="69"/>
      <c r="B168" s="69"/>
      <c r="C168" s="69"/>
      <c r="D168" s="69"/>
      <c r="E168" s="69"/>
    </row>
    <row r="169" spans="1:5" ht="43.7" customHeight="1" thickBot="1">
      <c r="A169" s="13" t="e" vm="1">
        <v>#VALUE!</v>
      </c>
      <c r="B169" s="10"/>
      <c r="C169" s="14"/>
      <c r="D169" s="11" t="str">
        <f>'Company Data'!$B$2</f>
        <v>DK Company Vejle A/S
Edisonvej 4
7100 Vejle
Denmark</v>
      </c>
      <c r="E169" s="12"/>
    </row>
    <row r="170" spans="1:5" ht="18">
      <c r="A170" s="15" t="s">
        <v>1</v>
      </c>
      <c r="B170" s="16" t="s">
        <v>49</v>
      </c>
      <c r="C170" s="6"/>
      <c r="D170" s="2" t="s">
        <v>2</v>
      </c>
      <c r="E170" s="17">
        <v>16</v>
      </c>
    </row>
    <row r="171" spans="1:5" ht="18">
      <c r="A171" s="15" t="s">
        <v>3</v>
      </c>
      <c r="B171" s="16">
        <v>50109763</v>
      </c>
      <c r="C171" s="7"/>
      <c r="D171" s="2" t="s">
        <v>4</v>
      </c>
      <c r="E171" s="17" t="s">
        <v>51</v>
      </c>
    </row>
    <row r="172" spans="1:5" ht="18">
      <c r="A172" s="15" t="s">
        <v>5</v>
      </c>
      <c r="B172" s="16">
        <v>500122</v>
      </c>
      <c r="C172" s="7"/>
      <c r="D172" s="2" t="s">
        <v>6</v>
      </c>
      <c r="E172" s="17" t="s">
        <v>48</v>
      </c>
    </row>
    <row r="173" spans="1:5" ht="18">
      <c r="A173" s="15" t="s">
        <v>7</v>
      </c>
      <c r="B173" s="16" t="s">
        <v>48</v>
      </c>
      <c r="C173" s="7"/>
      <c r="D173" s="2" t="s">
        <v>8</v>
      </c>
      <c r="E173" s="18">
        <v>22</v>
      </c>
    </row>
    <row r="174" spans="1:5" ht="18.399999999999999" thickBot="1">
      <c r="A174" s="15" t="s">
        <v>9</v>
      </c>
      <c r="B174" s="19">
        <v>5715299098687</v>
      </c>
      <c r="C174" s="8"/>
      <c r="D174" s="2" t="s">
        <v>10</v>
      </c>
      <c r="E174" s="18">
        <v>32</v>
      </c>
    </row>
    <row r="175" spans="1:5" ht="50.75" customHeight="1" thickBot="1">
      <c r="A175" s="94" t="s">
        <v>63</v>
      </c>
      <c r="B175" s="95"/>
      <c r="C175" s="95"/>
      <c r="D175" s="95"/>
      <c r="E175" s="96"/>
    </row>
    <row r="176" spans="1:5" ht="4.7" customHeight="1" thickBot="1">
      <c r="A176" s="69"/>
      <c r="B176" s="69"/>
      <c r="C176" s="69"/>
      <c r="D176" s="69"/>
      <c r="E176" s="69"/>
    </row>
    <row r="177" spans="1:5" ht="43.7" customHeight="1" thickBot="1">
      <c r="A177" s="13" t="e" vm="1">
        <v>#VALUE!</v>
      </c>
      <c r="B177" s="10"/>
      <c r="C177" s="14"/>
      <c r="D177" s="11" t="str">
        <f>'Company Data'!$B$2</f>
        <v>DK Company Vejle A/S
Edisonvej 4
7100 Vejle
Denmark</v>
      </c>
      <c r="E177" s="12"/>
    </row>
    <row r="178" spans="1:5" ht="18">
      <c r="A178" s="15" t="s">
        <v>1</v>
      </c>
      <c r="B178" s="16" t="s">
        <v>49</v>
      </c>
      <c r="C178" s="6"/>
      <c r="D178" s="2" t="s">
        <v>2</v>
      </c>
      <c r="E178" s="17">
        <v>16</v>
      </c>
    </row>
    <row r="179" spans="1:5" ht="18">
      <c r="A179" s="15" t="s">
        <v>3</v>
      </c>
      <c r="B179" s="16">
        <v>50109763</v>
      </c>
      <c r="C179" s="7"/>
      <c r="D179" s="2" t="s">
        <v>4</v>
      </c>
      <c r="E179" s="17" t="s">
        <v>53</v>
      </c>
    </row>
    <row r="180" spans="1:5" ht="18">
      <c r="A180" s="15" t="s">
        <v>5</v>
      </c>
      <c r="B180" s="16">
        <v>500122</v>
      </c>
      <c r="C180" s="7"/>
      <c r="D180" s="2" t="s">
        <v>6</v>
      </c>
      <c r="E180" s="17" t="s">
        <v>48</v>
      </c>
    </row>
    <row r="181" spans="1:5" ht="18">
      <c r="A181" s="15" t="s">
        <v>7</v>
      </c>
      <c r="B181" s="16" t="s">
        <v>48</v>
      </c>
      <c r="C181" s="7"/>
      <c r="D181" s="2" t="s">
        <v>8</v>
      </c>
      <c r="E181" s="18">
        <v>23</v>
      </c>
    </row>
    <row r="182" spans="1:5" ht="18.399999999999999" thickBot="1">
      <c r="A182" s="15" t="s">
        <v>9</v>
      </c>
      <c r="B182" s="19">
        <v>5715299098670</v>
      </c>
      <c r="C182" s="8"/>
      <c r="D182" s="2" t="s">
        <v>10</v>
      </c>
      <c r="E182" s="18">
        <v>32</v>
      </c>
    </row>
    <row r="183" spans="1:5" ht="50.75" customHeight="1" thickBot="1">
      <c r="A183" s="94" t="s">
        <v>64</v>
      </c>
      <c r="B183" s="95"/>
      <c r="C183" s="95"/>
      <c r="D183" s="95"/>
      <c r="E183" s="96"/>
    </row>
    <row r="184" spans="1:5" ht="4.7" customHeight="1" thickBot="1">
      <c r="A184" s="69"/>
      <c r="B184" s="69"/>
      <c r="C184" s="69"/>
      <c r="D184" s="69"/>
      <c r="E184" s="69"/>
    </row>
    <row r="185" spans="1:5" ht="43.7" customHeight="1" thickBot="1">
      <c r="A185" s="13" t="e" vm="1">
        <v>#VALUE!</v>
      </c>
      <c r="B185" s="10"/>
      <c r="C185" s="14"/>
      <c r="D185" s="11" t="str">
        <f>'Company Data'!$B$2</f>
        <v>DK Company Vejle A/S
Edisonvej 4
7100 Vejle
Denmark</v>
      </c>
      <c r="E185" s="12"/>
    </row>
    <row r="186" spans="1:5" ht="18">
      <c r="A186" s="15" t="s">
        <v>1</v>
      </c>
      <c r="B186" s="16" t="s">
        <v>49</v>
      </c>
      <c r="C186" s="6"/>
      <c r="D186" s="2" t="s">
        <v>2</v>
      </c>
      <c r="E186" s="17">
        <v>16</v>
      </c>
    </row>
    <row r="187" spans="1:5" ht="18">
      <c r="A187" s="15" t="s">
        <v>3</v>
      </c>
      <c r="B187" s="16">
        <v>50109763</v>
      </c>
      <c r="C187" s="7"/>
      <c r="D187" s="2" t="s">
        <v>4</v>
      </c>
      <c r="E187" s="17" t="s">
        <v>53</v>
      </c>
    </row>
    <row r="188" spans="1:5" ht="18">
      <c r="A188" s="15" t="s">
        <v>5</v>
      </c>
      <c r="B188" s="16">
        <v>500122</v>
      </c>
      <c r="C188" s="7"/>
      <c r="D188" s="2" t="s">
        <v>6</v>
      </c>
      <c r="E188" s="17" t="s">
        <v>48</v>
      </c>
    </row>
    <row r="189" spans="1:5" ht="18">
      <c r="A189" s="15" t="s">
        <v>7</v>
      </c>
      <c r="B189" s="16" t="s">
        <v>48</v>
      </c>
      <c r="C189" s="7"/>
      <c r="D189" s="2" t="s">
        <v>8</v>
      </c>
      <c r="E189" s="18">
        <v>24</v>
      </c>
    </row>
    <row r="190" spans="1:5" ht="18.399999999999999" thickBot="1">
      <c r="A190" s="15" t="s">
        <v>9</v>
      </c>
      <c r="B190" s="19">
        <v>5715299098670</v>
      </c>
      <c r="C190" s="8"/>
      <c r="D190" s="2" t="s">
        <v>10</v>
      </c>
      <c r="E190" s="18">
        <v>32</v>
      </c>
    </row>
    <row r="191" spans="1:5" ht="50.75" customHeight="1" thickBot="1">
      <c r="A191" s="94" t="s">
        <v>64</v>
      </c>
      <c r="B191" s="95"/>
      <c r="C191" s="95"/>
      <c r="D191" s="95"/>
      <c r="E191" s="96"/>
    </row>
    <row r="192" spans="1:5" ht="4.7" customHeight="1" thickBot="1">
      <c r="A192" s="69"/>
      <c r="B192" s="69"/>
      <c r="C192" s="69"/>
      <c r="D192" s="69"/>
      <c r="E192" s="69"/>
    </row>
    <row r="193" spans="1:5" ht="43.7" customHeight="1" thickBot="1">
      <c r="A193" s="13" t="e" vm="1">
        <v>#VALUE!</v>
      </c>
      <c r="B193" s="10"/>
      <c r="C193" s="14"/>
      <c r="D193" s="11" t="str">
        <f>'Company Data'!$B$2</f>
        <v>DK Company Vejle A/S
Edisonvej 4
7100 Vejle
Denmark</v>
      </c>
      <c r="E193" s="12"/>
    </row>
    <row r="194" spans="1:5" ht="18">
      <c r="A194" s="15" t="s">
        <v>1</v>
      </c>
      <c r="B194" s="16" t="s">
        <v>49</v>
      </c>
      <c r="C194" s="6"/>
      <c r="D194" s="2" t="s">
        <v>2</v>
      </c>
      <c r="E194" s="17">
        <v>16</v>
      </c>
    </row>
    <row r="195" spans="1:5" ht="18">
      <c r="A195" s="15" t="s">
        <v>3</v>
      </c>
      <c r="B195" s="16">
        <v>50109763</v>
      </c>
      <c r="C195" s="7"/>
      <c r="D195" s="2" t="s">
        <v>4</v>
      </c>
      <c r="E195" s="17" t="s">
        <v>53</v>
      </c>
    </row>
    <row r="196" spans="1:5" ht="18">
      <c r="A196" s="15" t="s">
        <v>5</v>
      </c>
      <c r="B196" s="16">
        <v>500122</v>
      </c>
      <c r="C196" s="7"/>
      <c r="D196" s="2" t="s">
        <v>6</v>
      </c>
      <c r="E196" s="17" t="s">
        <v>48</v>
      </c>
    </row>
    <row r="197" spans="1:5" ht="18">
      <c r="A197" s="15" t="s">
        <v>7</v>
      </c>
      <c r="B197" s="16" t="s">
        <v>48</v>
      </c>
      <c r="C197" s="7"/>
      <c r="D197" s="2" t="s">
        <v>8</v>
      </c>
      <c r="E197" s="18">
        <v>25</v>
      </c>
    </row>
    <row r="198" spans="1:5" ht="18.399999999999999" thickBot="1">
      <c r="A198" s="15" t="s">
        <v>9</v>
      </c>
      <c r="B198" s="19">
        <v>5715299098670</v>
      </c>
      <c r="C198" s="8"/>
      <c r="D198" s="2" t="s">
        <v>10</v>
      </c>
      <c r="E198" s="18">
        <v>32</v>
      </c>
    </row>
    <row r="199" spans="1:5" ht="50.75" customHeight="1" thickBot="1">
      <c r="A199" s="94" t="s">
        <v>64</v>
      </c>
      <c r="B199" s="95"/>
      <c r="C199" s="95"/>
      <c r="D199" s="95"/>
      <c r="E199" s="96"/>
    </row>
    <row r="200" spans="1:5" ht="4.7" customHeight="1" thickBot="1">
      <c r="A200" s="69"/>
      <c r="B200" s="69"/>
      <c r="C200" s="69"/>
      <c r="D200" s="69"/>
      <c r="E200" s="69"/>
    </row>
    <row r="201" spans="1:5" ht="43.7" customHeight="1" thickBot="1">
      <c r="A201" s="13" t="e" vm="1">
        <v>#VALUE!</v>
      </c>
      <c r="B201" s="10"/>
      <c r="C201" s="14"/>
      <c r="D201" s="11" t="str">
        <f>'Company Data'!$B$2</f>
        <v>DK Company Vejle A/S
Edisonvej 4
7100 Vejle
Denmark</v>
      </c>
      <c r="E201" s="12"/>
    </row>
    <row r="202" spans="1:5" ht="18">
      <c r="A202" s="15" t="s">
        <v>1</v>
      </c>
      <c r="B202" s="16" t="s">
        <v>49</v>
      </c>
      <c r="C202" s="6"/>
      <c r="D202" s="2" t="s">
        <v>2</v>
      </c>
      <c r="E202" s="17">
        <v>16</v>
      </c>
    </row>
    <row r="203" spans="1:5" ht="18">
      <c r="A203" s="15" t="s">
        <v>3</v>
      </c>
      <c r="B203" s="16">
        <v>50109763</v>
      </c>
      <c r="C203" s="7"/>
      <c r="D203" s="2" t="s">
        <v>4</v>
      </c>
      <c r="E203" s="17" t="s">
        <v>53</v>
      </c>
    </row>
    <row r="204" spans="1:5" ht="18">
      <c r="A204" s="15" t="s">
        <v>5</v>
      </c>
      <c r="B204" s="16">
        <v>500122</v>
      </c>
      <c r="C204" s="7"/>
      <c r="D204" s="2" t="s">
        <v>6</v>
      </c>
      <c r="E204" s="17" t="s">
        <v>48</v>
      </c>
    </row>
    <row r="205" spans="1:5" ht="18">
      <c r="A205" s="15" t="s">
        <v>7</v>
      </c>
      <c r="B205" s="16" t="s">
        <v>48</v>
      </c>
      <c r="C205" s="7"/>
      <c r="D205" s="2" t="s">
        <v>8</v>
      </c>
      <c r="E205" s="18">
        <v>26</v>
      </c>
    </row>
    <row r="206" spans="1:5" ht="18.399999999999999" thickBot="1">
      <c r="A206" s="15" t="s">
        <v>9</v>
      </c>
      <c r="B206" s="19">
        <v>5715299098670</v>
      </c>
      <c r="C206" s="8"/>
      <c r="D206" s="2" t="s">
        <v>10</v>
      </c>
      <c r="E206" s="18">
        <v>32</v>
      </c>
    </row>
    <row r="207" spans="1:5" ht="50.75" customHeight="1" thickBot="1">
      <c r="A207" s="94" t="s">
        <v>64</v>
      </c>
      <c r="B207" s="95"/>
      <c r="C207" s="95"/>
      <c r="D207" s="95"/>
      <c r="E207" s="96"/>
    </row>
    <row r="208" spans="1:5" ht="4.7" customHeight="1" thickBot="1">
      <c r="A208" s="69"/>
      <c r="B208" s="69"/>
      <c r="C208" s="69"/>
      <c r="D208" s="69"/>
      <c r="E208" s="69"/>
    </row>
    <row r="209" spans="1:5" ht="43.7" customHeight="1" thickBot="1">
      <c r="A209" s="13" t="e" vm="1">
        <v>#VALUE!</v>
      </c>
      <c r="B209" s="10"/>
      <c r="C209" s="14"/>
      <c r="D209" s="11" t="str">
        <f>'Company Data'!$B$2</f>
        <v>DK Company Vejle A/S
Edisonvej 4
7100 Vejle
Denmark</v>
      </c>
      <c r="E209" s="12"/>
    </row>
    <row r="210" spans="1:5" ht="18">
      <c r="A210" s="15" t="s">
        <v>1</v>
      </c>
      <c r="B210" s="16" t="s">
        <v>49</v>
      </c>
      <c r="C210" s="6"/>
      <c r="D210" s="2" t="s">
        <v>2</v>
      </c>
      <c r="E210" s="17">
        <v>16</v>
      </c>
    </row>
    <row r="211" spans="1:5" ht="18">
      <c r="A211" s="15" t="s">
        <v>3</v>
      </c>
      <c r="B211" s="16">
        <v>50109763</v>
      </c>
      <c r="C211" s="7"/>
      <c r="D211" s="2" t="s">
        <v>4</v>
      </c>
      <c r="E211" s="17" t="s">
        <v>54</v>
      </c>
    </row>
    <row r="212" spans="1:5" ht="18">
      <c r="A212" s="15" t="s">
        <v>5</v>
      </c>
      <c r="B212" s="16">
        <v>500122</v>
      </c>
      <c r="C212" s="7"/>
      <c r="D212" s="2" t="s">
        <v>6</v>
      </c>
      <c r="E212" s="17" t="s">
        <v>48</v>
      </c>
    </row>
    <row r="213" spans="1:5" ht="18">
      <c r="A213" s="15" t="s">
        <v>7</v>
      </c>
      <c r="B213" s="16" t="s">
        <v>48</v>
      </c>
      <c r="C213" s="7"/>
      <c r="D213" s="2" t="s">
        <v>8</v>
      </c>
      <c r="E213" s="18">
        <v>27</v>
      </c>
    </row>
    <row r="214" spans="1:5" ht="18.399999999999999" thickBot="1">
      <c r="A214" s="15" t="s">
        <v>9</v>
      </c>
      <c r="B214" s="19">
        <v>5715299098663</v>
      </c>
      <c r="C214" s="8"/>
      <c r="D214" s="2" t="s">
        <v>10</v>
      </c>
      <c r="E214" s="18">
        <v>32</v>
      </c>
    </row>
    <row r="215" spans="1:5" ht="50.75" customHeight="1" thickBot="1">
      <c r="A215" s="94" t="s">
        <v>65</v>
      </c>
      <c r="B215" s="95"/>
      <c r="C215" s="95"/>
      <c r="D215" s="95"/>
      <c r="E215" s="96"/>
    </row>
    <row r="216" spans="1:5" ht="4.7" customHeight="1" thickBot="1">
      <c r="A216" s="69"/>
      <c r="B216" s="69"/>
      <c r="C216" s="69"/>
      <c r="D216" s="69"/>
      <c r="E216" s="69"/>
    </row>
    <row r="217" spans="1:5" ht="43.7" customHeight="1" thickBot="1">
      <c r="A217" s="13" t="e" vm="1">
        <v>#VALUE!</v>
      </c>
      <c r="B217" s="10"/>
      <c r="C217" s="14"/>
      <c r="D217" s="11" t="str">
        <f>'Company Data'!$B$2</f>
        <v>DK Company Vejle A/S
Edisonvej 4
7100 Vejle
Denmark</v>
      </c>
      <c r="E217" s="12"/>
    </row>
    <row r="218" spans="1:5" ht="18">
      <c r="A218" s="15" t="s">
        <v>1</v>
      </c>
      <c r="B218" s="16" t="s">
        <v>49</v>
      </c>
      <c r="C218" s="6"/>
      <c r="D218" s="2" t="s">
        <v>2</v>
      </c>
      <c r="E218" s="17">
        <v>16</v>
      </c>
    </row>
    <row r="219" spans="1:5" ht="18">
      <c r="A219" s="15" t="s">
        <v>3</v>
      </c>
      <c r="B219" s="16">
        <v>50109763</v>
      </c>
      <c r="C219" s="7"/>
      <c r="D219" s="2" t="s">
        <v>4</v>
      </c>
      <c r="E219" s="17" t="s">
        <v>54</v>
      </c>
    </row>
    <row r="220" spans="1:5" ht="18">
      <c r="A220" s="15" t="s">
        <v>5</v>
      </c>
      <c r="B220" s="16">
        <v>500122</v>
      </c>
      <c r="C220" s="7"/>
      <c r="D220" s="2" t="s">
        <v>6</v>
      </c>
      <c r="E220" s="17" t="s">
        <v>48</v>
      </c>
    </row>
    <row r="221" spans="1:5" ht="18">
      <c r="A221" s="15" t="s">
        <v>7</v>
      </c>
      <c r="B221" s="16" t="s">
        <v>48</v>
      </c>
      <c r="C221" s="7"/>
      <c r="D221" s="2" t="s">
        <v>8</v>
      </c>
      <c r="E221" s="18">
        <v>28</v>
      </c>
    </row>
    <row r="222" spans="1:5" ht="18.399999999999999" thickBot="1">
      <c r="A222" s="15" t="s">
        <v>9</v>
      </c>
      <c r="B222" s="19">
        <v>5715299098663</v>
      </c>
      <c r="C222" s="8"/>
      <c r="D222" s="2" t="s">
        <v>10</v>
      </c>
      <c r="E222" s="18">
        <v>32</v>
      </c>
    </row>
    <row r="223" spans="1:5" ht="50.75" customHeight="1" thickBot="1">
      <c r="A223" s="94" t="s">
        <v>65</v>
      </c>
      <c r="B223" s="95"/>
      <c r="C223" s="95"/>
      <c r="D223" s="95"/>
      <c r="E223" s="96"/>
    </row>
    <row r="224" spans="1:5" ht="4.7" customHeight="1" thickBot="1">
      <c r="A224" s="69"/>
      <c r="B224" s="69"/>
      <c r="C224" s="69"/>
      <c r="D224" s="69"/>
      <c r="E224" s="69"/>
    </row>
    <row r="225" spans="1:5" ht="43.7" customHeight="1" thickBot="1">
      <c r="A225" s="13" t="e" vm="1">
        <v>#VALUE!</v>
      </c>
      <c r="B225" s="10"/>
      <c r="C225" s="14"/>
      <c r="D225" s="11" t="str">
        <f>'Company Data'!$B$2</f>
        <v>DK Company Vejle A/S
Edisonvej 4
7100 Vejle
Denmark</v>
      </c>
      <c r="E225" s="12"/>
    </row>
    <row r="226" spans="1:5" ht="18">
      <c r="A226" s="15" t="s">
        <v>1</v>
      </c>
      <c r="B226" s="16" t="s">
        <v>49</v>
      </c>
      <c r="C226" s="6"/>
      <c r="D226" s="2" t="s">
        <v>2</v>
      </c>
      <c r="E226" s="17">
        <v>16</v>
      </c>
    </row>
    <row r="227" spans="1:5" ht="18">
      <c r="A227" s="15" t="s">
        <v>3</v>
      </c>
      <c r="B227" s="16">
        <v>50109763</v>
      </c>
      <c r="C227" s="7"/>
      <c r="D227" s="2" t="s">
        <v>4</v>
      </c>
      <c r="E227" s="17" t="s">
        <v>54</v>
      </c>
    </row>
    <row r="228" spans="1:5" ht="18">
      <c r="A228" s="15" t="s">
        <v>5</v>
      </c>
      <c r="B228" s="16">
        <v>500122</v>
      </c>
      <c r="C228" s="7"/>
      <c r="D228" s="2" t="s">
        <v>6</v>
      </c>
      <c r="E228" s="17" t="s">
        <v>48</v>
      </c>
    </row>
    <row r="229" spans="1:5" ht="18">
      <c r="A229" s="15" t="s">
        <v>7</v>
      </c>
      <c r="B229" s="16" t="s">
        <v>48</v>
      </c>
      <c r="C229" s="7"/>
      <c r="D229" s="2" t="s">
        <v>8</v>
      </c>
      <c r="E229" s="18">
        <v>29</v>
      </c>
    </row>
    <row r="230" spans="1:5" ht="18.399999999999999" thickBot="1">
      <c r="A230" s="15" t="s">
        <v>9</v>
      </c>
      <c r="B230" s="19">
        <v>5715299098663</v>
      </c>
      <c r="C230" s="8"/>
      <c r="D230" s="2" t="s">
        <v>10</v>
      </c>
      <c r="E230" s="18">
        <v>32</v>
      </c>
    </row>
    <row r="231" spans="1:5" ht="50.75" customHeight="1" thickBot="1">
      <c r="A231" s="94" t="s">
        <v>65</v>
      </c>
      <c r="B231" s="95"/>
      <c r="C231" s="95"/>
      <c r="D231" s="95"/>
      <c r="E231" s="96"/>
    </row>
    <row r="232" spans="1:5" ht="4.7" customHeight="1" thickBot="1">
      <c r="A232" s="69"/>
      <c r="B232" s="69"/>
      <c r="C232" s="69"/>
      <c r="D232" s="69"/>
      <c r="E232" s="69"/>
    </row>
    <row r="233" spans="1:5" ht="43.7" customHeight="1" thickBot="1">
      <c r="A233" s="13" t="e" vm="1">
        <v>#VALUE!</v>
      </c>
      <c r="B233" s="10"/>
      <c r="C233" s="14"/>
      <c r="D233" s="11" t="str">
        <f>'Company Data'!$B$2</f>
        <v>DK Company Vejle A/S
Edisonvej 4
7100 Vejle
Denmark</v>
      </c>
      <c r="E233" s="12"/>
    </row>
    <row r="234" spans="1:5" ht="18">
      <c r="A234" s="15" t="s">
        <v>1</v>
      </c>
      <c r="B234" s="16" t="s">
        <v>49</v>
      </c>
      <c r="C234" s="6"/>
      <c r="D234" s="2" t="s">
        <v>2</v>
      </c>
      <c r="E234" s="17">
        <v>16</v>
      </c>
    </row>
    <row r="235" spans="1:5" ht="18">
      <c r="A235" s="15" t="s">
        <v>3</v>
      </c>
      <c r="B235" s="16">
        <v>50109763</v>
      </c>
      <c r="C235" s="7"/>
      <c r="D235" s="2" t="s">
        <v>4</v>
      </c>
      <c r="E235" s="17" t="s">
        <v>54</v>
      </c>
    </row>
    <row r="236" spans="1:5" ht="18">
      <c r="A236" s="15" t="s">
        <v>5</v>
      </c>
      <c r="B236" s="16">
        <v>500122</v>
      </c>
      <c r="C236" s="7"/>
      <c r="D236" s="2" t="s">
        <v>6</v>
      </c>
      <c r="E236" s="17" t="s">
        <v>48</v>
      </c>
    </row>
    <row r="237" spans="1:5" ht="18">
      <c r="A237" s="15" t="s">
        <v>7</v>
      </c>
      <c r="B237" s="16" t="s">
        <v>48</v>
      </c>
      <c r="C237" s="7"/>
      <c r="D237" s="2" t="s">
        <v>8</v>
      </c>
      <c r="E237" s="18">
        <v>30</v>
      </c>
    </row>
    <row r="238" spans="1:5" ht="18.399999999999999" thickBot="1">
      <c r="A238" s="15" t="s">
        <v>9</v>
      </c>
      <c r="B238" s="19">
        <v>5715299098663</v>
      </c>
      <c r="C238" s="8"/>
      <c r="D238" s="2" t="s">
        <v>10</v>
      </c>
      <c r="E238" s="18">
        <v>32</v>
      </c>
    </row>
    <row r="239" spans="1:5" ht="50.75" customHeight="1" thickBot="1">
      <c r="A239" s="94" t="s">
        <v>65</v>
      </c>
      <c r="B239" s="95"/>
      <c r="C239" s="95"/>
      <c r="D239" s="95"/>
      <c r="E239" s="96"/>
    </row>
    <row r="240" spans="1:5" ht="4.7" customHeight="1" thickBot="1">
      <c r="A240" s="69"/>
      <c r="B240" s="69"/>
      <c r="C240" s="69"/>
      <c r="D240" s="69"/>
      <c r="E240" s="69"/>
    </row>
    <row r="241" spans="1:5" ht="43.7" customHeight="1" thickBot="1">
      <c r="A241" s="13" t="e" vm="1">
        <v>#VALUE!</v>
      </c>
      <c r="B241" s="10"/>
      <c r="C241" s="14"/>
      <c r="D241" s="11" t="str">
        <f>'Company Data'!$B$2</f>
        <v>DK Company Vejle A/S
Edisonvej 4
7100 Vejle
Denmark</v>
      </c>
      <c r="E241" s="12"/>
    </row>
    <row r="242" spans="1:5" ht="18">
      <c r="A242" s="15" t="s">
        <v>1</v>
      </c>
      <c r="B242" s="16" t="s">
        <v>49</v>
      </c>
      <c r="C242" s="6"/>
      <c r="D242" s="2" t="s">
        <v>2</v>
      </c>
      <c r="E242" s="17">
        <v>16</v>
      </c>
    </row>
    <row r="243" spans="1:5" ht="18">
      <c r="A243" s="15" t="s">
        <v>3</v>
      </c>
      <c r="B243" s="16">
        <v>50109763</v>
      </c>
      <c r="C243" s="7"/>
      <c r="D243" s="2" t="s">
        <v>4</v>
      </c>
      <c r="E243" s="17" t="s">
        <v>54</v>
      </c>
    </row>
    <row r="244" spans="1:5" ht="18">
      <c r="A244" s="15" t="s">
        <v>5</v>
      </c>
      <c r="B244" s="16">
        <v>500122</v>
      </c>
      <c r="C244" s="7"/>
      <c r="D244" s="2" t="s">
        <v>6</v>
      </c>
      <c r="E244" s="17" t="s">
        <v>48</v>
      </c>
    </row>
    <row r="245" spans="1:5" ht="18">
      <c r="A245" s="15" t="s">
        <v>7</v>
      </c>
      <c r="B245" s="16" t="s">
        <v>48</v>
      </c>
      <c r="C245" s="7"/>
      <c r="D245" s="2" t="s">
        <v>8</v>
      </c>
      <c r="E245" s="18">
        <v>31</v>
      </c>
    </row>
    <row r="246" spans="1:5" ht="18.399999999999999" thickBot="1">
      <c r="A246" s="15" t="s">
        <v>9</v>
      </c>
      <c r="B246" s="19">
        <v>5715299098663</v>
      </c>
      <c r="C246" s="8"/>
      <c r="D246" s="2" t="s">
        <v>10</v>
      </c>
      <c r="E246" s="18">
        <v>32</v>
      </c>
    </row>
    <row r="247" spans="1:5" ht="50.75" customHeight="1" thickBot="1">
      <c r="A247" s="94" t="s">
        <v>65</v>
      </c>
      <c r="B247" s="95"/>
      <c r="C247" s="95"/>
      <c r="D247" s="95"/>
      <c r="E247" s="96"/>
    </row>
    <row r="248" spans="1:5" ht="4.7" customHeight="1" thickBot="1">
      <c r="A248" s="69"/>
      <c r="B248" s="69"/>
      <c r="C248" s="69"/>
      <c r="D248" s="69"/>
      <c r="E248" s="69"/>
    </row>
    <row r="249" spans="1:5" ht="43.7" customHeight="1" thickBot="1">
      <c r="A249" s="13" t="e" vm="1">
        <v>#VALUE!</v>
      </c>
      <c r="B249" s="10"/>
      <c r="C249" s="14"/>
      <c r="D249" s="11" t="str">
        <f>'Company Data'!$B$2</f>
        <v>DK Company Vejle A/S
Edisonvej 4
7100 Vejle
Denmark</v>
      </c>
      <c r="E249" s="12"/>
    </row>
    <row r="250" spans="1:5" ht="18">
      <c r="A250" s="15" t="s">
        <v>1</v>
      </c>
      <c r="B250" s="16" t="s">
        <v>49</v>
      </c>
      <c r="C250" s="6"/>
      <c r="D250" s="2" t="s">
        <v>2</v>
      </c>
      <c r="E250" s="17" t="s">
        <v>104</v>
      </c>
    </row>
    <row r="251" spans="1:5" ht="18">
      <c r="A251" s="15" t="s">
        <v>3</v>
      </c>
      <c r="B251" s="16">
        <v>50109763</v>
      </c>
      <c r="C251" s="7"/>
      <c r="D251" s="2" t="s">
        <v>4</v>
      </c>
      <c r="E251" s="17" t="s">
        <v>53</v>
      </c>
    </row>
    <row r="252" spans="1:5" ht="18">
      <c r="A252" s="15" t="s">
        <v>5</v>
      </c>
      <c r="B252" s="16">
        <v>500122</v>
      </c>
      <c r="C252" s="7"/>
      <c r="D252" s="2" t="s">
        <v>6</v>
      </c>
      <c r="E252" s="17" t="s">
        <v>48</v>
      </c>
    </row>
    <row r="253" spans="1:5" ht="18">
      <c r="A253" s="15" t="s">
        <v>7</v>
      </c>
      <c r="B253" s="16" t="s">
        <v>48</v>
      </c>
      <c r="C253" s="7"/>
      <c r="D253" s="2" t="s">
        <v>8</v>
      </c>
      <c r="E253" s="18">
        <v>32</v>
      </c>
    </row>
    <row r="254" spans="1:5" ht="18.399999999999999" thickBot="1">
      <c r="A254" s="15" t="s">
        <v>9</v>
      </c>
      <c r="B254" s="19">
        <v>5715299098663</v>
      </c>
      <c r="C254" s="8"/>
      <c r="D254" s="2" t="s">
        <v>10</v>
      </c>
      <c r="E254" s="18">
        <v>32</v>
      </c>
    </row>
    <row r="255" spans="1:5" ht="50.75" customHeight="1" thickBot="1">
      <c r="A255" s="94" t="s">
        <v>106</v>
      </c>
      <c r="B255" s="95"/>
      <c r="C255" s="95"/>
      <c r="D255" s="95"/>
      <c r="E255" s="96"/>
    </row>
    <row r="256" spans="1:5" ht="4.7" customHeight="1">
      <c r="A256" s="69"/>
      <c r="B256" s="69"/>
      <c r="C256" s="69"/>
      <c r="D256" s="69"/>
      <c r="E256" s="69"/>
    </row>
  </sheetData>
  <mergeCells count="32">
    <mergeCell ref="A239:E239"/>
    <mergeCell ref="A247:E247"/>
    <mergeCell ref="A255:E255"/>
    <mergeCell ref="A199:E199"/>
    <mergeCell ref="A207:E207"/>
    <mergeCell ref="A215:E215"/>
    <mergeCell ref="A223:E223"/>
    <mergeCell ref="A231:E231"/>
    <mergeCell ref="A159:E159"/>
    <mergeCell ref="A167:E167"/>
    <mergeCell ref="A175:E175"/>
    <mergeCell ref="A183:E183"/>
    <mergeCell ref="A191:E191"/>
    <mergeCell ref="A127:E127"/>
    <mergeCell ref="A135:E135"/>
    <mergeCell ref="A143:E143"/>
    <mergeCell ref="A151:E151"/>
    <mergeCell ref="A87:E87"/>
    <mergeCell ref="A95:E95"/>
    <mergeCell ref="A103:E103"/>
    <mergeCell ref="A111:E111"/>
    <mergeCell ref="A119:E119"/>
    <mergeCell ref="A47:E47"/>
    <mergeCell ref="A55:E55"/>
    <mergeCell ref="A63:E63"/>
    <mergeCell ref="A71:E71"/>
    <mergeCell ref="A79:E79"/>
    <mergeCell ref="A7:E7"/>
    <mergeCell ref="A15:E15"/>
    <mergeCell ref="A23:E23"/>
    <mergeCell ref="A31:E31"/>
    <mergeCell ref="A39:E39"/>
  </mergeCells>
  <pageMargins left="0.7" right="0.7" top="0.75" bottom="0.75" header="0.3" footer="0.3"/>
  <pageSetup paperSize="9" orientation="portrait" r:id="rId1"/>
  <rowBreaks count="8" manualBreakCount="8">
    <brk id="32" max="16383" man="1"/>
    <brk id="64" max="16383" man="1"/>
    <brk id="96" max="16383" man="1"/>
    <brk id="128" max="16383" man="1"/>
    <brk id="160" max="16383" man="1"/>
    <brk id="192" max="16383" man="1"/>
    <brk id="224" max="16383" man="1"/>
    <brk id="256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E840F-9EA2-4571-BFC2-F64B1C7A1C52}">
  <sheetPr codeName="Sheet4"/>
  <dimension ref="A1:J32"/>
  <sheetViews>
    <sheetView zoomScaleNormal="100" workbookViewId="0">
      <selection activeCell="G13" sqref="G13"/>
    </sheetView>
  </sheetViews>
  <sheetFormatPr defaultColWidth="9.1328125" defaultRowHeight="18"/>
  <cols>
    <col min="1" max="1" width="16.33203125" style="1" customWidth="1"/>
    <col min="2" max="2" width="21.6640625" style="1" customWidth="1"/>
    <col min="3" max="3" width="1.33203125" style="1" customWidth="1"/>
    <col min="4" max="4" width="16.33203125" style="1" customWidth="1"/>
    <col min="5" max="5" width="26.6640625" style="1" customWidth="1"/>
    <col min="6" max="6" width="9.1328125" style="1"/>
    <col min="7" max="7" width="20.6640625" style="1" bestFit="1" customWidth="1"/>
    <col min="8" max="8" width="14.6640625" style="1" customWidth="1"/>
    <col min="9" max="16384" width="9.1328125" style="1"/>
  </cols>
  <sheetData>
    <row r="1" spans="1:10" ht="3" customHeight="1" thickBot="1">
      <c r="A1" s="9"/>
      <c r="B1" s="9"/>
      <c r="C1" s="9"/>
      <c r="D1" s="9"/>
      <c r="E1" s="9"/>
    </row>
    <row r="2" spans="1:10" ht="43.25" customHeight="1" thickBot="1">
      <c r="A2" s="13" t="e" vm="1">
        <v>#VALUE!</v>
      </c>
      <c r="B2" s="10"/>
      <c r="C2" s="14"/>
      <c r="D2" s="27" t="str">
        <f>'Company Data'!$B$1</f>
        <v>DK Company A/S
La Cours Vej 6
7430 Ikast
Denmark</v>
      </c>
      <c r="E2" s="12"/>
      <c r="G2" s="25" t="s">
        <v>35</v>
      </c>
      <c r="H2" s="26" t="s">
        <v>32</v>
      </c>
    </row>
    <row r="3" spans="1:10">
      <c r="A3" s="15" t="s">
        <v>1</v>
      </c>
      <c r="B3" s="20"/>
      <c r="C3" s="6"/>
      <c r="D3" s="2" t="s">
        <v>2</v>
      </c>
      <c r="E3" s="22"/>
    </row>
    <row r="4" spans="1:10">
      <c r="A4" s="15" t="s">
        <v>3</v>
      </c>
      <c r="B4" s="20"/>
      <c r="C4" s="7"/>
      <c r="D4" s="2" t="s">
        <v>4</v>
      </c>
      <c r="E4" s="22"/>
    </row>
    <row r="5" spans="1:10">
      <c r="A5" s="15" t="s">
        <v>5</v>
      </c>
      <c r="B5" s="20"/>
      <c r="C5" s="7"/>
      <c r="D5" s="2" t="s">
        <v>6</v>
      </c>
      <c r="E5" s="22"/>
    </row>
    <row r="6" spans="1:10">
      <c r="A6" s="15" t="s">
        <v>7</v>
      </c>
      <c r="B6" s="20"/>
      <c r="C6" s="7"/>
      <c r="D6" s="2" t="s">
        <v>8</v>
      </c>
      <c r="E6" s="23"/>
    </row>
    <row r="7" spans="1:10" ht="18.399999999999999" thickBot="1">
      <c r="A7" s="15" t="s">
        <v>9</v>
      </c>
      <c r="B7" s="21"/>
      <c r="C7" s="8"/>
      <c r="D7" s="2" t="s">
        <v>10</v>
      </c>
      <c r="E7" s="23"/>
    </row>
    <row r="8" spans="1:10" ht="50.25" thickBot="1">
      <c r="A8" s="94" t="str">
        <f>"*"&amp;B7&amp;E3&amp;B3&amp;"*"</f>
        <v>**</v>
      </c>
      <c r="B8" s="108"/>
      <c r="C8" s="108"/>
      <c r="D8" s="108"/>
      <c r="E8" s="109"/>
      <c r="J8"/>
    </row>
    <row r="9" spans="1:10" ht="3" customHeight="1" thickBot="1">
      <c r="A9" s="9"/>
      <c r="B9" s="9"/>
      <c r="C9" s="9"/>
      <c r="D9" s="9"/>
      <c r="E9" s="9"/>
    </row>
    <row r="10" spans="1:10" ht="43.25" customHeight="1" thickBot="1">
      <c r="A10" s="13" t="e" vm="1">
        <v>#VALUE!</v>
      </c>
      <c r="B10" s="10"/>
      <c r="C10" s="14"/>
      <c r="D10" s="11" t="str">
        <f>D2</f>
        <v>DK Company A/S
La Cours Vej 6
7430 Ikast
Denmark</v>
      </c>
      <c r="E10" s="12"/>
    </row>
    <row r="11" spans="1:10">
      <c r="A11" s="15" t="s">
        <v>1</v>
      </c>
      <c r="B11" s="20"/>
      <c r="C11" s="6"/>
      <c r="D11" s="2" t="s">
        <v>2</v>
      </c>
      <c r="E11" s="22"/>
    </row>
    <row r="12" spans="1:10">
      <c r="A12" s="15" t="s">
        <v>3</v>
      </c>
      <c r="B12" s="20"/>
      <c r="C12" s="7"/>
      <c r="D12" s="2" t="s">
        <v>4</v>
      </c>
      <c r="E12" s="22"/>
    </row>
    <row r="13" spans="1:10">
      <c r="A13" s="15" t="s">
        <v>5</v>
      </c>
      <c r="B13" s="20"/>
      <c r="C13" s="7"/>
      <c r="D13" s="2" t="s">
        <v>6</v>
      </c>
      <c r="E13" s="22"/>
    </row>
    <row r="14" spans="1:10">
      <c r="A14" s="15" t="s">
        <v>7</v>
      </c>
      <c r="B14" s="20"/>
      <c r="C14" s="7"/>
      <c r="D14" s="2" t="s">
        <v>8</v>
      </c>
      <c r="E14" s="23"/>
    </row>
    <row r="15" spans="1:10" ht="18.399999999999999" thickBot="1">
      <c r="A15" s="15" t="s">
        <v>9</v>
      </c>
      <c r="B15" s="21"/>
      <c r="C15" s="8"/>
      <c r="D15" s="2" t="s">
        <v>10</v>
      </c>
      <c r="E15" s="23"/>
    </row>
    <row r="16" spans="1:10" ht="50.25" thickBot="1">
      <c r="A16" s="94" t="str">
        <f>"*"&amp;B15&amp;E11&amp;B11&amp;"*"</f>
        <v>**</v>
      </c>
      <c r="B16" s="108"/>
      <c r="C16" s="108"/>
      <c r="D16" s="108"/>
      <c r="E16" s="109"/>
      <c r="J16"/>
    </row>
    <row r="17" spans="1:10" ht="3" customHeight="1" thickBot="1">
      <c r="A17" s="9"/>
      <c r="B17" s="9"/>
      <c r="C17" s="9"/>
      <c r="D17" s="9"/>
      <c r="E17" s="9"/>
    </row>
    <row r="18" spans="1:10" ht="43.25" customHeight="1" thickBot="1">
      <c r="A18" s="13" t="e" vm="1">
        <v>#VALUE!</v>
      </c>
      <c r="B18" s="10"/>
      <c r="C18" s="14"/>
      <c r="D18" s="11" t="str">
        <f>D2</f>
        <v>DK Company A/S
La Cours Vej 6
7430 Ikast
Denmark</v>
      </c>
      <c r="E18" s="12"/>
    </row>
    <row r="19" spans="1:10">
      <c r="A19" s="15" t="s">
        <v>1</v>
      </c>
      <c r="B19" s="20"/>
      <c r="C19" s="6"/>
      <c r="D19" s="2" t="s">
        <v>2</v>
      </c>
      <c r="E19" s="22"/>
    </row>
    <row r="20" spans="1:10">
      <c r="A20" s="15" t="s">
        <v>3</v>
      </c>
      <c r="B20" s="20"/>
      <c r="C20" s="7"/>
      <c r="D20" s="2" t="s">
        <v>4</v>
      </c>
      <c r="E20" s="22"/>
    </row>
    <row r="21" spans="1:10">
      <c r="A21" s="15" t="s">
        <v>5</v>
      </c>
      <c r="B21" s="20"/>
      <c r="C21" s="7"/>
      <c r="D21" s="2" t="s">
        <v>6</v>
      </c>
      <c r="E21" s="22"/>
    </row>
    <row r="22" spans="1:10">
      <c r="A22" s="15" t="s">
        <v>7</v>
      </c>
      <c r="B22" s="20"/>
      <c r="C22" s="7"/>
      <c r="D22" s="2" t="s">
        <v>8</v>
      </c>
      <c r="E22" s="23"/>
    </row>
    <row r="23" spans="1:10" ht="18.399999999999999" thickBot="1">
      <c r="A23" s="15" t="s">
        <v>9</v>
      </c>
      <c r="B23" s="21"/>
      <c r="C23" s="8"/>
      <c r="D23" s="2" t="s">
        <v>10</v>
      </c>
      <c r="E23" s="23"/>
    </row>
    <row r="24" spans="1:10" ht="50.25" thickBot="1">
      <c r="A24" s="94" t="str">
        <f>"*"&amp;B23&amp;E19&amp;B19&amp;"*"</f>
        <v>**</v>
      </c>
      <c r="B24" s="108"/>
      <c r="C24" s="108"/>
      <c r="D24" s="108"/>
      <c r="E24" s="109"/>
      <c r="J24"/>
    </row>
    <row r="25" spans="1:10" ht="3" customHeight="1" thickBot="1">
      <c r="A25" s="9"/>
      <c r="B25" s="9"/>
      <c r="C25" s="9"/>
      <c r="D25" s="9"/>
      <c r="E25" s="9"/>
    </row>
    <row r="26" spans="1:10" ht="43.25" customHeight="1" thickBot="1">
      <c r="A26" s="13" t="e" vm="1">
        <v>#VALUE!</v>
      </c>
      <c r="B26" s="10"/>
      <c r="C26" s="14"/>
      <c r="D26" s="11" t="str">
        <f>D2</f>
        <v>DK Company A/S
La Cours Vej 6
7430 Ikast
Denmark</v>
      </c>
      <c r="E26" s="12"/>
    </row>
    <row r="27" spans="1:10">
      <c r="A27" s="15" t="s">
        <v>1</v>
      </c>
      <c r="B27" s="20"/>
      <c r="C27" s="6"/>
      <c r="D27" s="2" t="s">
        <v>2</v>
      </c>
      <c r="E27" s="22"/>
    </row>
    <row r="28" spans="1:10">
      <c r="A28" s="15" t="s">
        <v>3</v>
      </c>
      <c r="B28" s="20"/>
      <c r="C28" s="7"/>
      <c r="D28" s="2" t="s">
        <v>4</v>
      </c>
      <c r="E28" s="22"/>
    </row>
    <row r="29" spans="1:10">
      <c r="A29" s="15" t="s">
        <v>5</v>
      </c>
      <c r="B29" s="20"/>
      <c r="C29" s="7"/>
      <c r="D29" s="2" t="s">
        <v>6</v>
      </c>
      <c r="E29" s="22"/>
    </row>
    <row r="30" spans="1:10">
      <c r="A30" s="15" t="s">
        <v>7</v>
      </c>
      <c r="B30" s="20"/>
      <c r="C30" s="7"/>
      <c r="D30" s="2" t="s">
        <v>8</v>
      </c>
      <c r="E30" s="23"/>
    </row>
    <row r="31" spans="1:10" ht="18.399999999999999" thickBot="1">
      <c r="A31" s="15" t="s">
        <v>9</v>
      </c>
      <c r="B31" s="21"/>
      <c r="C31" s="8"/>
      <c r="D31" s="2" t="s">
        <v>10</v>
      </c>
      <c r="E31" s="23"/>
    </row>
    <row r="32" spans="1:10" ht="50.25" thickBot="1">
      <c r="A32" s="94" t="str">
        <f>"*"&amp;B31&amp;E27&amp;B27&amp;"*"</f>
        <v>**</v>
      </c>
      <c r="B32" s="108"/>
      <c r="C32" s="108"/>
      <c r="D32" s="108"/>
      <c r="E32" s="109"/>
      <c r="J32"/>
    </row>
  </sheetData>
  <sheetProtection algorithmName="SHA-512" hashValue="qCDp275VAqvX71NWQEcQ5Zo0wxg2F31eJCxsiAaODxAMk/o3oDvpWVckwCLjcDCNFgz8JnqpXloWJ3TjBfaHmw==" saltValue="Wx96ftitfsV+apjf/GPl+Q==" spinCount="100000" sheet="1" objects="1" scenarios="1"/>
  <mergeCells count="4">
    <mergeCell ref="A8:E8"/>
    <mergeCell ref="A16:E16"/>
    <mergeCell ref="A24:E24"/>
    <mergeCell ref="A32:E32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C2F58-037A-4364-8420-2D1F213A3A00}">
          <x14:formula1>
            <xm:f>'Company Data'!$A$1:$A$3</xm:f>
          </x14:formula1>
          <xm:sqref>H2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6C1A3-9A53-413A-A10A-FC6F9A75CA48}">
  <sheetPr codeName="Sheet6"/>
  <dimension ref="A1:E8"/>
  <sheetViews>
    <sheetView zoomScaleNormal="100" workbookViewId="0">
      <selection activeCell="D14" sqref="D14"/>
    </sheetView>
  </sheetViews>
  <sheetFormatPr defaultColWidth="9.1328125" defaultRowHeight="18"/>
  <cols>
    <col min="1" max="1" width="16.33203125" style="45" customWidth="1"/>
    <col min="2" max="2" width="21.6640625" style="45" customWidth="1"/>
    <col min="3" max="3" width="1.46484375" style="45" customWidth="1"/>
    <col min="4" max="4" width="16.33203125" style="45" customWidth="1"/>
    <col min="5" max="5" width="26.6640625" style="45" customWidth="1"/>
    <col min="6" max="16384" width="9.1328125" style="45"/>
  </cols>
  <sheetData>
    <row r="1" spans="1:5" ht="43.25" customHeight="1" thickBot="1">
      <c r="A1" s="13" t="e" vm="1">
        <v>#VALUE!</v>
      </c>
      <c r="B1" s="10"/>
      <c r="C1" s="14"/>
      <c r="D1" s="11" t="str">
        <f>'[1]Company Data'!$B$2</f>
        <v>DK Company Vejle A/S
Edisonvej 4
7100 Vejle
Denmark</v>
      </c>
      <c r="E1" s="12"/>
    </row>
    <row r="2" spans="1:5">
      <c r="A2" s="15" t="s">
        <v>1</v>
      </c>
      <c r="B2" s="16"/>
      <c r="C2" s="6"/>
      <c r="D2" s="2" t="s">
        <v>2</v>
      </c>
      <c r="E2" s="17"/>
    </row>
    <row r="3" spans="1:5">
      <c r="A3" s="15" t="s">
        <v>3</v>
      </c>
      <c r="B3" s="16"/>
      <c r="C3" s="7"/>
      <c r="D3" s="2" t="s">
        <v>4</v>
      </c>
      <c r="E3" s="17"/>
    </row>
    <row r="4" spans="1:5">
      <c r="A4" s="15" t="s">
        <v>5</v>
      </c>
      <c r="B4" s="16"/>
      <c r="C4" s="7"/>
      <c r="D4" s="2" t="s">
        <v>6</v>
      </c>
      <c r="E4" s="17"/>
    </row>
    <row r="5" spans="1:5">
      <c r="A5" s="15" t="s">
        <v>7</v>
      </c>
      <c r="B5" s="16"/>
      <c r="C5" s="7"/>
      <c r="D5" s="2" t="s">
        <v>8</v>
      </c>
      <c r="E5" s="18"/>
    </row>
    <row r="6" spans="1:5" ht="18.399999999999999" thickBot="1">
      <c r="A6" s="15" t="s">
        <v>9</v>
      </c>
      <c r="B6" s="19"/>
      <c r="C6" s="8"/>
      <c r="D6" s="2" t="s">
        <v>10</v>
      </c>
      <c r="E6" s="18"/>
    </row>
    <row r="7" spans="1:5" ht="50.25" thickBot="1">
      <c r="A7" s="94" t="s">
        <v>30</v>
      </c>
      <c r="B7" s="95"/>
      <c r="C7" s="95"/>
      <c r="D7" s="95"/>
      <c r="E7" s="96"/>
    </row>
    <row r="8" spans="1:5" ht="4.25" customHeight="1"/>
  </sheetData>
  <mergeCells count="1">
    <mergeCell ref="A7:E7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AE4D-DCAE-45D1-B3F7-965CCB231435}">
  <sheetPr codeName="Ark3"/>
  <dimension ref="A1:M42"/>
  <sheetViews>
    <sheetView topLeftCell="A7" zoomScaleNormal="100" workbookViewId="0">
      <selection activeCell="P7" sqref="P7"/>
    </sheetView>
  </sheetViews>
  <sheetFormatPr defaultColWidth="9.1328125" defaultRowHeight="18"/>
  <cols>
    <col min="1" max="1" width="0.46484375" style="45" customWidth="1"/>
    <col min="2" max="2" width="12" style="45" customWidth="1"/>
    <col min="3" max="3" width="1.33203125" style="45" customWidth="1"/>
    <col min="4" max="4" width="9.1328125" style="45" customWidth="1"/>
    <col min="5" max="5" width="1.1328125" style="45" customWidth="1"/>
    <col min="6" max="6" width="12.33203125" style="45" customWidth="1"/>
    <col min="7" max="7" width="1.33203125" style="45" hidden="1" customWidth="1"/>
    <col min="8" max="8" width="16.6640625" style="45" customWidth="1"/>
    <col min="9" max="9" width="1.33203125" style="45" customWidth="1"/>
    <col min="10" max="10" width="5.33203125" style="45" customWidth="1"/>
    <col min="11" max="11" width="1.1328125" style="45" customWidth="1"/>
    <col min="12" max="12" width="25.53125" style="45" customWidth="1"/>
    <col min="13" max="13" width="1" style="45" customWidth="1"/>
    <col min="14" max="16384" width="9.1328125" style="45"/>
  </cols>
  <sheetData>
    <row r="1" spans="1:13" ht="2.25" customHeight="1" thickBot="1">
      <c r="A1" s="28"/>
      <c r="B1" s="104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29"/>
    </row>
    <row r="2" spans="1:13" ht="2.25" customHeight="1">
      <c r="A2" s="28"/>
      <c r="B2" s="10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29"/>
    </row>
    <row r="3" spans="1:13">
      <c r="A3" s="30"/>
      <c r="B3" s="100" t="e" vm="1">
        <v>#VALUE!</v>
      </c>
      <c r="C3" s="100"/>
      <c r="D3" s="100"/>
      <c r="E3" s="100"/>
      <c r="F3" s="100"/>
      <c r="H3" s="106" t="s">
        <v>0</v>
      </c>
      <c r="I3" s="107"/>
      <c r="J3" s="107"/>
      <c r="K3" s="107"/>
      <c r="L3" s="107"/>
      <c r="M3" s="31"/>
    </row>
    <row r="4" spans="1:13" ht="35.25" customHeight="1">
      <c r="A4" s="30"/>
      <c r="B4" s="100"/>
      <c r="C4" s="100"/>
      <c r="D4" s="100"/>
      <c r="E4" s="100"/>
      <c r="F4" s="100"/>
      <c r="H4" s="107"/>
      <c r="I4" s="107"/>
      <c r="J4" s="107"/>
      <c r="K4" s="107"/>
      <c r="L4" s="107"/>
      <c r="M4" s="31"/>
    </row>
    <row r="5" spans="1:13" ht="6.75" customHeight="1">
      <c r="A5" s="3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31"/>
    </row>
    <row r="6" spans="1:13">
      <c r="A6" s="30"/>
      <c r="B6" s="32" t="s">
        <v>37</v>
      </c>
      <c r="C6" s="98" t="s">
        <v>38</v>
      </c>
      <c r="D6" s="98"/>
      <c r="E6" s="98"/>
      <c r="F6" s="98"/>
      <c r="H6" s="32" t="s">
        <v>8</v>
      </c>
      <c r="I6" s="97">
        <v>3</v>
      </c>
      <c r="J6" s="97"/>
      <c r="K6" s="97"/>
      <c r="L6" s="97"/>
      <c r="M6" s="31"/>
    </row>
    <row r="7" spans="1:13">
      <c r="A7" s="30"/>
      <c r="B7" s="32" t="s">
        <v>39</v>
      </c>
      <c r="C7" s="97">
        <v>11971911</v>
      </c>
      <c r="D7" s="97"/>
      <c r="E7" s="97"/>
      <c r="F7" s="97"/>
      <c r="H7" s="32" t="s">
        <v>10</v>
      </c>
      <c r="I7" s="98">
        <v>1</v>
      </c>
      <c r="J7" s="99"/>
      <c r="K7" s="99"/>
      <c r="L7" s="99"/>
      <c r="M7" s="31"/>
    </row>
    <row r="8" spans="1:13" ht="7.5" customHeight="1">
      <c r="A8" s="3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31"/>
    </row>
    <row r="9" spans="1:13">
      <c r="A9" s="30"/>
      <c r="B9" s="33" t="s">
        <v>40</v>
      </c>
      <c r="C9" s="101"/>
      <c r="D9" s="33" t="s">
        <v>41</v>
      </c>
      <c r="E9" s="101"/>
      <c r="F9" s="33" t="s">
        <v>42</v>
      </c>
      <c r="G9" s="102"/>
      <c r="H9" s="33" t="s">
        <v>43</v>
      </c>
      <c r="I9" s="103"/>
      <c r="J9" s="33" t="s">
        <v>44</v>
      </c>
      <c r="K9" s="100"/>
      <c r="L9" s="33" t="s">
        <v>45</v>
      </c>
      <c r="M9" s="31"/>
    </row>
    <row r="10" spans="1:13" ht="25.9">
      <c r="A10" s="30"/>
      <c r="B10" s="35" t="s">
        <v>46</v>
      </c>
      <c r="C10" s="101"/>
      <c r="D10" s="46">
        <v>30</v>
      </c>
      <c r="E10" s="101"/>
      <c r="F10" s="46">
        <v>144810</v>
      </c>
      <c r="G10" s="102"/>
      <c r="H10" s="36">
        <v>5712345665010</v>
      </c>
      <c r="I10" s="103"/>
      <c r="J10" s="36">
        <v>4</v>
      </c>
      <c r="K10" s="100"/>
      <c r="L10" s="37" t="str">
        <f>"*"&amp;H10&amp;J10&amp;"*"</f>
        <v>*57123456650104*</v>
      </c>
      <c r="M10" s="31"/>
    </row>
    <row r="11" spans="1:13" ht="25.9">
      <c r="A11" s="30"/>
      <c r="B11" s="35">
        <v>30</v>
      </c>
      <c r="C11" s="101"/>
      <c r="D11" s="46">
        <v>32</v>
      </c>
      <c r="E11" s="101"/>
      <c r="F11" s="46">
        <v>144810</v>
      </c>
      <c r="G11" s="102"/>
      <c r="H11" s="36">
        <v>5712345665011</v>
      </c>
      <c r="I11" s="103"/>
      <c r="J11" s="36">
        <v>6</v>
      </c>
      <c r="K11" s="100"/>
      <c r="L11" s="37" t="str">
        <f t="shared" ref="L11:L13" si="0">"*"&amp;H11&amp;J11&amp;"*"</f>
        <v>*57123456650116*</v>
      </c>
      <c r="M11" s="31"/>
    </row>
    <row r="12" spans="1:13" ht="25.9">
      <c r="A12" s="30"/>
      <c r="B12" s="35">
        <v>30</v>
      </c>
      <c r="C12" s="101"/>
      <c r="D12" s="46">
        <v>33</v>
      </c>
      <c r="E12" s="101"/>
      <c r="F12" s="46">
        <v>144810</v>
      </c>
      <c r="G12" s="102"/>
      <c r="H12" s="36">
        <v>5712345665012</v>
      </c>
      <c r="I12" s="103"/>
      <c r="J12" s="36">
        <v>6</v>
      </c>
      <c r="K12" s="100"/>
      <c r="L12" s="37" t="str">
        <f t="shared" si="0"/>
        <v>*57123456650126*</v>
      </c>
      <c r="M12" s="31"/>
    </row>
    <row r="13" spans="1:13" ht="25.9">
      <c r="A13" s="30"/>
      <c r="B13" s="35">
        <v>32</v>
      </c>
      <c r="C13" s="101"/>
      <c r="D13" s="46">
        <v>32</v>
      </c>
      <c r="E13" s="101"/>
      <c r="F13" s="46">
        <v>144810</v>
      </c>
      <c r="G13" s="102"/>
      <c r="H13" s="36">
        <v>5712345665013</v>
      </c>
      <c r="I13" s="103"/>
      <c r="J13" s="36">
        <v>4</v>
      </c>
      <c r="K13" s="100"/>
      <c r="L13" s="37" t="str">
        <f t="shared" si="0"/>
        <v>*57123456650134*</v>
      </c>
      <c r="M13" s="31"/>
    </row>
    <row r="14" spans="1:13" ht="3" customHeight="1" thickBot="1">
      <c r="A14" s="38"/>
      <c r="B14" s="39"/>
      <c r="C14" s="40"/>
      <c r="D14" s="40"/>
      <c r="E14" s="40"/>
      <c r="F14" s="40"/>
      <c r="G14" s="40"/>
      <c r="H14" s="41"/>
      <c r="I14" s="42"/>
      <c r="J14" s="41"/>
      <c r="K14" s="40"/>
      <c r="L14" s="43"/>
      <c r="M14" s="44"/>
    </row>
    <row r="15" spans="1:13" ht="9.6" customHeight="1" thickBot="1">
      <c r="B15" s="110"/>
      <c r="C15" s="110"/>
      <c r="D15" s="110"/>
      <c r="E15" s="110"/>
      <c r="F15" s="110"/>
      <c r="G15" s="110"/>
      <c r="H15" s="110"/>
      <c r="I15" s="110"/>
      <c r="J15" s="110"/>
      <c r="K15" s="110"/>
      <c r="L15" s="110"/>
    </row>
    <row r="16" spans="1:13" ht="2.25" customHeight="1">
      <c r="A16" s="28"/>
      <c r="B16" s="104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29"/>
    </row>
    <row r="17" spans="1:13">
      <c r="A17" s="30"/>
      <c r="B17" s="100" t="e" vm="1">
        <v>#VALUE!</v>
      </c>
      <c r="C17" s="100"/>
      <c r="D17" s="100"/>
      <c r="E17" s="100"/>
      <c r="F17" s="100"/>
      <c r="H17" s="106" t="s">
        <v>0</v>
      </c>
      <c r="I17" s="107"/>
      <c r="J17" s="107"/>
      <c r="K17" s="107"/>
      <c r="L17" s="107"/>
      <c r="M17" s="31"/>
    </row>
    <row r="18" spans="1:13" ht="35.25" customHeight="1">
      <c r="A18" s="30"/>
      <c r="B18" s="100"/>
      <c r="C18" s="100"/>
      <c r="D18" s="100"/>
      <c r="E18" s="100"/>
      <c r="F18" s="100"/>
      <c r="H18" s="107"/>
      <c r="I18" s="107"/>
      <c r="J18" s="107"/>
      <c r="K18" s="107"/>
      <c r="L18" s="107"/>
      <c r="M18" s="31"/>
    </row>
    <row r="19" spans="1:13" ht="6.75" customHeight="1">
      <c r="A19" s="30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31"/>
    </row>
    <row r="20" spans="1:13">
      <c r="A20" s="30"/>
      <c r="B20" s="32" t="s">
        <v>37</v>
      </c>
      <c r="C20" s="98" t="s">
        <v>38</v>
      </c>
      <c r="D20" s="98"/>
      <c r="E20" s="98"/>
      <c r="F20" s="98"/>
      <c r="H20" s="32" t="s">
        <v>8</v>
      </c>
      <c r="I20" s="97">
        <v>3</v>
      </c>
      <c r="J20" s="97"/>
      <c r="K20" s="97"/>
      <c r="L20" s="97"/>
      <c r="M20" s="31"/>
    </row>
    <row r="21" spans="1:13">
      <c r="A21" s="30"/>
      <c r="B21" s="32" t="s">
        <v>39</v>
      </c>
      <c r="C21" s="97">
        <v>11971911</v>
      </c>
      <c r="D21" s="97"/>
      <c r="E21" s="97"/>
      <c r="F21" s="97"/>
      <c r="H21" s="32" t="s">
        <v>10</v>
      </c>
      <c r="I21" s="98">
        <v>2</v>
      </c>
      <c r="J21" s="99"/>
      <c r="K21" s="99"/>
      <c r="L21" s="99"/>
      <c r="M21" s="31"/>
    </row>
    <row r="22" spans="1:13" ht="7.5" customHeight="1">
      <c r="A22" s="30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31"/>
    </row>
    <row r="23" spans="1:13">
      <c r="A23" s="30"/>
      <c r="B23" s="33" t="s">
        <v>40</v>
      </c>
      <c r="C23" s="101"/>
      <c r="D23" s="33" t="s">
        <v>41</v>
      </c>
      <c r="E23" s="101"/>
      <c r="F23" s="33" t="s">
        <v>42</v>
      </c>
      <c r="G23" s="102"/>
      <c r="H23" s="33" t="s">
        <v>43</v>
      </c>
      <c r="I23" s="103"/>
      <c r="J23" s="33" t="s">
        <v>44</v>
      </c>
      <c r="K23" s="100"/>
      <c r="L23" s="33" t="s">
        <v>45</v>
      </c>
      <c r="M23" s="31"/>
    </row>
    <row r="24" spans="1:13" ht="25.9">
      <c r="A24" s="30"/>
      <c r="B24" s="35" t="s">
        <v>46</v>
      </c>
      <c r="C24" s="101"/>
      <c r="D24" s="46">
        <v>30</v>
      </c>
      <c r="E24" s="101"/>
      <c r="F24" s="46">
        <v>144810</v>
      </c>
      <c r="G24" s="102"/>
      <c r="H24" s="36">
        <v>5712345665010</v>
      </c>
      <c r="I24" s="103"/>
      <c r="J24" s="36">
        <v>4</v>
      </c>
      <c r="K24" s="100"/>
      <c r="L24" s="37" t="str">
        <f>"*"&amp;H24&amp;J24&amp;"*"</f>
        <v>*57123456650104*</v>
      </c>
      <c r="M24" s="31"/>
    </row>
    <row r="25" spans="1:13" ht="25.9">
      <c r="A25" s="30"/>
      <c r="B25" s="35">
        <v>30</v>
      </c>
      <c r="C25" s="101"/>
      <c r="D25" s="46">
        <v>32</v>
      </c>
      <c r="E25" s="101"/>
      <c r="F25" s="46">
        <v>144810</v>
      </c>
      <c r="G25" s="102"/>
      <c r="H25" s="36">
        <v>5712345665011</v>
      </c>
      <c r="I25" s="103"/>
      <c r="J25" s="36">
        <v>6</v>
      </c>
      <c r="K25" s="100"/>
      <c r="L25" s="37" t="str">
        <f t="shared" ref="L25:L27" si="1">"*"&amp;H25&amp;J25&amp;"*"</f>
        <v>*57123456650116*</v>
      </c>
      <c r="M25" s="31"/>
    </row>
    <row r="26" spans="1:13" ht="25.9">
      <c r="A26" s="30"/>
      <c r="B26" s="35">
        <v>30</v>
      </c>
      <c r="C26" s="101"/>
      <c r="D26" s="46">
        <v>33</v>
      </c>
      <c r="E26" s="101"/>
      <c r="F26" s="46">
        <v>144810</v>
      </c>
      <c r="G26" s="102"/>
      <c r="H26" s="36">
        <v>5712345665012</v>
      </c>
      <c r="I26" s="103"/>
      <c r="J26" s="36">
        <v>6</v>
      </c>
      <c r="K26" s="100"/>
      <c r="L26" s="37" t="str">
        <f t="shared" si="1"/>
        <v>*57123456650126*</v>
      </c>
      <c r="M26" s="31"/>
    </row>
    <row r="27" spans="1:13" ht="25.9">
      <c r="A27" s="30"/>
      <c r="B27" s="35">
        <v>32</v>
      </c>
      <c r="C27" s="101"/>
      <c r="D27" s="46">
        <v>32</v>
      </c>
      <c r="E27" s="101"/>
      <c r="F27" s="46">
        <v>144810</v>
      </c>
      <c r="G27" s="102"/>
      <c r="H27" s="36">
        <v>5712345665013</v>
      </c>
      <c r="I27" s="103"/>
      <c r="J27" s="36">
        <v>4</v>
      </c>
      <c r="K27" s="100"/>
      <c r="L27" s="37" t="str">
        <f t="shared" si="1"/>
        <v>*57123456650134*</v>
      </c>
      <c r="M27" s="31"/>
    </row>
    <row r="28" spans="1:13" ht="3" customHeight="1" thickBot="1">
      <c r="A28" s="38"/>
      <c r="B28" s="39"/>
      <c r="C28" s="40"/>
      <c r="D28" s="40"/>
      <c r="E28" s="40"/>
      <c r="F28" s="40"/>
      <c r="G28" s="40"/>
      <c r="H28" s="41"/>
      <c r="I28" s="42"/>
      <c r="J28" s="41"/>
      <c r="K28" s="40"/>
      <c r="L28" s="43"/>
      <c r="M28" s="44"/>
    </row>
    <row r="29" spans="1:13" ht="9.6" customHeight="1" thickBot="1"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</row>
    <row r="30" spans="1:13" ht="2.25" customHeight="1">
      <c r="A30" s="28"/>
      <c r="B30" s="104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29"/>
    </row>
    <row r="31" spans="1:13">
      <c r="A31" s="30"/>
      <c r="B31" s="100" t="e" vm="1">
        <v>#VALUE!</v>
      </c>
      <c r="C31" s="100"/>
      <c r="D31" s="100"/>
      <c r="E31" s="100"/>
      <c r="F31" s="100"/>
      <c r="H31" s="106" t="s">
        <v>0</v>
      </c>
      <c r="I31" s="107"/>
      <c r="J31" s="107"/>
      <c r="K31" s="107"/>
      <c r="L31" s="107"/>
      <c r="M31" s="31"/>
    </row>
    <row r="32" spans="1:13" ht="35.25" customHeight="1">
      <c r="A32" s="30"/>
      <c r="B32" s="100"/>
      <c r="C32" s="100"/>
      <c r="D32" s="100"/>
      <c r="E32" s="100"/>
      <c r="F32" s="100"/>
      <c r="H32" s="107"/>
      <c r="I32" s="107"/>
      <c r="J32" s="107"/>
      <c r="K32" s="107"/>
      <c r="L32" s="107"/>
      <c r="M32" s="31"/>
    </row>
    <row r="33" spans="1:13" ht="6.75" customHeight="1">
      <c r="A33" s="3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31"/>
    </row>
    <row r="34" spans="1:13">
      <c r="A34" s="30"/>
      <c r="B34" s="32" t="s">
        <v>37</v>
      </c>
      <c r="C34" s="98" t="s">
        <v>38</v>
      </c>
      <c r="D34" s="98"/>
      <c r="E34" s="98"/>
      <c r="F34" s="98"/>
      <c r="H34" s="32" t="s">
        <v>8</v>
      </c>
      <c r="I34" s="97">
        <v>3</v>
      </c>
      <c r="J34" s="97"/>
      <c r="K34" s="97"/>
      <c r="L34" s="97"/>
      <c r="M34" s="31"/>
    </row>
    <row r="35" spans="1:13">
      <c r="A35" s="30"/>
      <c r="B35" s="32" t="s">
        <v>39</v>
      </c>
      <c r="C35" s="97">
        <v>11971911</v>
      </c>
      <c r="D35" s="97"/>
      <c r="E35" s="97"/>
      <c r="F35" s="97"/>
      <c r="H35" s="32" t="s">
        <v>10</v>
      </c>
      <c r="I35" s="98">
        <v>3</v>
      </c>
      <c r="J35" s="99"/>
      <c r="K35" s="99"/>
      <c r="L35" s="99"/>
      <c r="M35" s="31"/>
    </row>
    <row r="36" spans="1:13" ht="7.5" customHeight="1">
      <c r="A36" s="30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31"/>
    </row>
    <row r="37" spans="1:13">
      <c r="A37" s="30"/>
      <c r="B37" s="33" t="s">
        <v>40</v>
      </c>
      <c r="C37" s="101"/>
      <c r="D37" s="33" t="s">
        <v>41</v>
      </c>
      <c r="E37" s="101"/>
      <c r="F37" s="33" t="s">
        <v>42</v>
      </c>
      <c r="G37" s="102"/>
      <c r="H37" s="33" t="s">
        <v>43</v>
      </c>
      <c r="I37" s="103"/>
      <c r="J37" s="33" t="s">
        <v>44</v>
      </c>
      <c r="K37" s="100"/>
      <c r="L37" s="33" t="s">
        <v>45</v>
      </c>
      <c r="M37" s="31"/>
    </row>
    <row r="38" spans="1:13" ht="25.9">
      <c r="A38" s="30"/>
      <c r="B38" s="35" t="s">
        <v>46</v>
      </c>
      <c r="C38" s="101"/>
      <c r="D38" s="46">
        <v>30</v>
      </c>
      <c r="E38" s="101"/>
      <c r="F38" s="46">
        <v>144810</v>
      </c>
      <c r="G38" s="102"/>
      <c r="H38" s="36">
        <v>5712345665010</v>
      </c>
      <c r="I38" s="103"/>
      <c r="J38" s="36">
        <v>4</v>
      </c>
      <c r="K38" s="100"/>
      <c r="L38" s="37" t="str">
        <f>"*"&amp;H38&amp;J38&amp;"*"</f>
        <v>*57123456650104*</v>
      </c>
      <c r="M38" s="31"/>
    </row>
    <row r="39" spans="1:13" ht="25.9">
      <c r="A39" s="30"/>
      <c r="B39" s="35">
        <v>30</v>
      </c>
      <c r="C39" s="101"/>
      <c r="D39" s="46">
        <v>32</v>
      </c>
      <c r="E39" s="101"/>
      <c r="F39" s="46">
        <v>144810</v>
      </c>
      <c r="G39" s="102"/>
      <c r="H39" s="36">
        <v>5712345665011</v>
      </c>
      <c r="I39" s="103"/>
      <c r="J39" s="36">
        <v>6</v>
      </c>
      <c r="K39" s="100"/>
      <c r="L39" s="37" t="str">
        <f t="shared" ref="L39:L41" si="2">"*"&amp;H39&amp;J39&amp;"*"</f>
        <v>*57123456650116*</v>
      </c>
      <c r="M39" s="31"/>
    </row>
    <row r="40" spans="1:13" ht="25.9">
      <c r="A40" s="30"/>
      <c r="B40" s="35">
        <v>30</v>
      </c>
      <c r="C40" s="101"/>
      <c r="D40" s="46">
        <v>33</v>
      </c>
      <c r="E40" s="101"/>
      <c r="F40" s="46">
        <v>144810</v>
      </c>
      <c r="G40" s="102"/>
      <c r="H40" s="36">
        <v>5712345665012</v>
      </c>
      <c r="I40" s="103"/>
      <c r="J40" s="36">
        <v>6</v>
      </c>
      <c r="K40" s="100"/>
      <c r="L40" s="37" t="str">
        <f t="shared" si="2"/>
        <v>*57123456650126*</v>
      </c>
      <c r="M40" s="31"/>
    </row>
    <row r="41" spans="1:13" ht="25.9">
      <c r="A41" s="30"/>
      <c r="B41" s="35">
        <v>32</v>
      </c>
      <c r="C41" s="101"/>
      <c r="D41" s="46">
        <v>32</v>
      </c>
      <c r="E41" s="101"/>
      <c r="F41" s="46">
        <v>144810</v>
      </c>
      <c r="G41" s="102"/>
      <c r="H41" s="36">
        <v>5712345665013</v>
      </c>
      <c r="I41" s="103"/>
      <c r="J41" s="36">
        <v>4</v>
      </c>
      <c r="K41" s="100"/>
      <c r="L41" s="37" t="str">
        <f t="shared" si="2"/>
        <v>*57123456650134*</v>
      </c>
      <c r="M41" s="31"/>
    </row>
    <row r="42" spans="1:13" ht="3" customHeight="1" thickBot="1">
      <c r="A42" s="38"/>
      <c r="B42" s="39"/>
      <c r="C42" s="40"/>
      <c r="D42" s="40"/>
      <c r="E42" s="40"/>
      <c r="F42" s="40"/>
      <c r="G42" s="40"/>
      <c r="H42" s="41"/>
      <c r="I42" s="42"/>
      <c r="J42" s="41"/>
      <c r="K42" s="40"/>
      <c r="L42" s="43"/>
      <c r="M42" s="44"/>
    </row>
  </sheetData>
  <mergeCells count="45">
    <mergeCell ref="C6:F6"/>
    <mergeCell ref="I6:L6"/>
    <mergeCell ref="B1:L1"/>
    <mergeCell ref="B2:L2"/>
    <mergeCell ref="B3:F4"/>
    <mergeCell ref="H3:L4"/>
    <mergeCell ref="B5:L5"/>
    <mergeCell ref="C20:F20"/>
    <mergeCell ref="I20:L20"/>
    <mergeCell ref="C7:F7"/>
    <mergeCell ref="I7:L7"/>
    <mergeCell ref="B8:L8"/>
    <mergeCell ref="C9:C13"/>
    <mergeCell ref="E9:E13"/>
    <mergeCell ref="G9:G13"/>
    <mergeCell ref="I9:I13"/>
    <mergeCell ref="K9:K13"/>
    <mergeCell ref="B15:L15"/>
    <mergeCell ref="B16:L16"/>
    <mergeCell ref="B17:F18"/>
    <mergeCell ref="H17:L18"/>
    <mergeCell ref="B19:L19"/>
    <mergeCell ref="C34:F34"/>
    <mergeCell ref="I34:L34"/>
    <mergeCell ref="C21:F21"/>
    <mergeCell ref="I21:L21"/>
    <mergeCell ref="B22:L22"/>
    <mergeCell ref="C23:C27"/>
    <mergeCell ref="E23:E27"/>
    <mergeCell ref="G23:G27"/>
    <mergeCell ref="I23:I27"/>
    <mergeCell ref="K23:K27"/>
    <mergeCell ref="B29:L29"/>
    <mergeCell ref="B30:L30"/>
    <mergeCell ref="B31:F32"/>
    <mergeCell ref="H31:L32"/>
    <mergeCell ref="B33:L33"/>
    <mergeCell ref="C35:F35"/>
    <mergeCell ref="I35:L35"/>
    <mergeCell ref="B36:L36"/>
    <mergeCell ref="C37:C41"/>
    <mergeCell ref="E37:E41"/>
    <mergeCell ref="G37:G41"/>
    <mergeCell ref="I37:I41"/>
    <mergeCell ref="K37:K4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23CBB-D013-496A-94F8-B7E6258B3143}">
  <sheetPr codeName="Ark1"/>
  <dimension ref="A1:B3"/>
  <sheetViews>
    <sheetView workbookViewId="0">
      <selection activeCell="G3" sqref="G3"/>
    </sheetView>
  </sheetViews>
  <sheetFormatPr defaultRowHeight="14.25"/>
  <cols>
    <col min="2" max="2" width="15.86328125" customWidth="1"/>
  </cols>
  <sheetData>
    <row r="1" spans="1:2" ht="42">
      <c r="A1" s="24" t="s">
        <v>32</v>
      </c>
      <c r="B1" s="24" t="s">
        <v>36</v>
      </c>
    </row>
    <row r="2" spans="1:2" ht="42">
      <c r="A2" s="24" t="s">
        <v>31</v>
      </c>
      <c r="B2" s="24" t="s">
        <v>0</v>
      </c>
    </row>
    <row r="3" spans="1:2" ht="42">
      <c r="A3" s="24" t="s">
        <v>33</v>
      </c>
      <c r="B3" s="24" t="s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97CE5FDAB2374FAF4ED4EED48FCAB8" ma:contentTypeVersion="15" ma:contentTypeDescription="Create a new document." ma:contentTypeScope="" ma:versionID="878d13874a2e62edc0ff677ae2c5e09d">
  <xsd:schema xmlns:xsd="http://www.w3.org/2001/XMLSchema" xmlns:xs="http://www.w3.org/2001/XMLSchema" xmlns:p="http://schemas.microsoft.com/office/2006/metadata/properties" xmlns:ns2="02d6b1a3-43f6-4904-bf3f-4fe2b7b07e1d" xmlns:ns3="45ac5a16-0415-4d3a-8ac7-09e29fde5387" targetNamespace="http://schemas.microsoft.com/office/2006/metadata/properties" ma:root="true" ma:fieldsID="58f4b117c568241576fc2ffc39a5dadc" ns2:_="" ns3:_="">
    <xsd:import namespace="02d6b1a3-43f6-4904-bf3f-4fe2b7b07e1d"/>
    <xsd:import namespace="45ac5a16-0415-4d3a-8ac7-09e29fde53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d6b1a3-43f6-4904-bf3f-4fe2b7b07e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355d8972-deea-4935-a906-aecd2e836c7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ac5a16-0415-4d3a-8ac7-09e29fde5387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bcec1e2f-8e68-4cc5-8311-c74275143c70}" ma:internalName="TaxCatchAll" ma:showField="CatchAllData" ma:web="45ac5a16-0415-4d3a-8ac7-09e29fde53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2d6b1a3-43f6-4904-bf3f-4fe2b7b07e1d">
      <Terms xmlns="http://schemas.microsoft.com/office/infopath/2007/PartnerControls"/>
    </lcf76f155ced4ddcb4097134ff3c332f>
    <TaxCatchAll xmlns="45ac5a16-0415-4d3a-8ac7-09e29fde5387" xsi:nil="true"/>
    <SharedWithUsers xmlns="45ac5a16-0415-4d3a-8ac7-09e29fde5387">
      <UserInfo>
        <DisplayName>Mikael Frøslev Jakobsen</DisplayName>
        <AccountId>41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7FDD809-1D0F-403E-9001-60DDC78796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0F1E85-EF9B-4A64-A79C-FCB9761A9D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d6b1a3-43f6-4904-bf3f-4fe2b7b07e1d"/>
    <ds:schemaRef ds:uri="45ac5a16-0415-4d3a-8ac7-09e29fde53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7A8405B-D097-48F5-89DF-ED37E5F1BD3B}">
  <ds:schemaRefs>
    <ds:schemaRef ds:uri="45ac5a16-0415-4d3a-8ac7-09e29fde5387"/>
    <ds:schemaRef ds:uri="http://schemas.microsoft.com/office/2006/metadata/properties"/>
    <ds:schemaRef ds:uri="02d6b1a3-43f6-4904-bf3f-4fe2b7b07e1d"/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Packing List</vt:lpstr>
      <vt:lpstr>CU-244767</vt:lpstr>
      <vt:lpstr>Label Template</vt:lpstr>
      <vt:lpstr>Mixed Template</vt:lpstr>
      <vt:lpstr>Label Output</vt:lpstr>
      <vt:lpstr>Manual Template</vt:lpstr>
      <vt:lpstr>Label Template (2)</vt:lpstr>
      <vt:lpstr>Mixed Template (2)</vt:lpstr>
      <vt:lpstr>'Label Output'!Print_Area</vt:lpstr>
      <vt:lpstr>'Manual Template'!Print_Area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Rasmus Andersen</dc:creator>
  <cp:keywords/>
  <dc:description/>
  <cp:lastModifiedBy>Amilia Li</cp:lastModifiedBy>
  <cp:revision/>
  <cp:lastPrinted>2025-03-06T10:07:37Z</cp:lastPrinted>
  <dcterms:created xsi:type="dcterms:W3CDTF">2023-06-01T09:07:49Z</dcterms:created>
  <dcterms:modified xsi:type="dcterms:W3CDTF">2025-05-23T03:41:30Z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0x0101006D97CE5FDAB2374FAF4ED4EED48FCAB8</vt:lpwstr>
  </property>
  <property fmtid="{D5CDD505-2E9C-101B-9397-08002B2CF9AE}" pid="3" name="MediaServiceImageTags">
    <vt:lpwstr/>
  </property>
</Properties>
</file>